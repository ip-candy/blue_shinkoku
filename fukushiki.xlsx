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703" windowHeight="14004" tabRatio="824"/>
  </bookViews>
  <sheets>
    <sheet name="はじめに" sheetId="16" r:id="rId1"/>
    <sheet name="勘定科目" sheetId="3" r:id="rId2"/>
    <sheet name="仕訳帳" sheetId="18" r:id="rId3"/>
    <sheet name="①青色申告決算書（損益計算書）" sheetId="19" r:id="rId4"/>
    <sheet name="②月別売上ほか" sheetId="21" r:id="rId5"/>
    <sheet name="③減価償却ほか" sheetId="6" r:id="rId6"/>
    <sheet name="④貸借対照表 " sheetId="20" r:id="rId7"/>
    <sheet name="総勘定元帳" sheetId="9" r:id="rId8"/>
    <sheet name="集計確認・分析" sheetId="17" r:id="rId9"/>
    <sheet name="固定資産台帳" sheetId="12" r:id="rId10"/>
    <sheet name="開業費記録" sheetId="22" r:id="rId11"/>
  </sheets>
  <externalReferences>
    <externalReference r:id="rId12"/>
  </externalReferences>
  <definedNames>
    <definedName name="勘定科目">[1]科目・集計!$B$5:$B$18</definedName>
    <definedName name="改定償却等">#REF!</definedName>
    <definedName name="勘定科目_元帳用">#REF!</definedName>
    <definedName name="減価償却一覧">#REF!</definedName>
    <definedName name="仕訳帳">#REF!</definedName>
    <definedName name="仕訳帳・入力範囲">OFFSET(#REF!,0,0,COUNTA(#REF!),17)</definedName>
    <definedName name="指定なし">#REF!</definedName>
    <definedName name="償却_旧法">#REF!</definedName>
    <definedName name="償却_新法">#REF!</definedName>
    <definedName name="償却資産の名称">OFFSET(#REF!,0,0,MAX(#REF!))</definedName>
    <definedName name="償却資産等の勘定科目">OFFSET(#REF!,0,0,MAX(#REF!))</definedName>
    <definedName name="償却率等表">#REF!</definedName>
    <definedName name="端数処理">#REF!</definedName>
    <definedName name="端数補正">#REF!</definedName>
    <definedName name="摘要文例">OFFSET(#REF!,0,0,MAX(#REF!))</definedName>
  </definedNames>
  <calcPr calcId="144525"/>
</workbook>
</file>

<file path=xl/sharedStrings.xml><?xml version="1.0" encoding="utf-8"?>
<sst xmlns="http://schemas.openxmlformats.org/spreadsheetml/2006/main" count="305">
  <si>
    <t>こちらはエクセルの複式簿記用の帳簿テンプレート「エクセルフ（試作版）」です。</t>
  </si>
  <si>
    <t>素人ですが、最終的には青色申告特別控除を受けるための会計ソフト並の機能を目指しています。</t>
  </si>
  <si>
    <t>Youtubeチャンネルはこちら（使い方や知識共有など）</t>
  </si>
  <si>
    <t>https://www.youtube.com/@aoiro-free</t>
  </si>
  <si>
    <t>メールはこちら（修正点やより良い関数の提案など）</t>
  </si>
  <si>
    <t>tooltoyama@gmail.com</t>
  </si>
  <si>
    <t>トーヤマトール</t>
  </si>
  <si>
    <t>2025.2 25</t>
  </si>
  <si>
    <t>【各シートの簡単な説明】</t>
  </si>
  <si>
    <t>関数</t>
  </si>
  <si>
    <t>データ参照</t>
  </si>
  <si>
    <t>勘定科目</t>
  </si>
  <si>
    <t>各勘定科目のコードと科目の分類を示しています。
オレンジ部分に新しい科目を追加できます。（分類を間違えないように注意）</t>
  </si>
  <si>
    <t>なし</t>
  </si>
  <si>
    <t>仕訳帳</t>
  </si>
  <si>
    <t>これのオレンジ部分に必要な項目を打ち込めば、他の書類は自動的に生成されます。
一般の会計ソフトと違い、年度初めの元入金も仕訳帳に記入します。
行が足りない場合は、オートフィルで増やしてください。</t>
  </si>
  <si>
    <t>あり</t>
  </si>
  <si>
    <t>①青色申告決算書
（損益計算書）</t>
  </si>
  <si>
    <t>仕訳帳の入力すれば自動的に生成されます。
確定申告の際にはこの値を参考にしてください。
足りない科目はオレンジ色のマスに追加してください。
※「各種引当金準備金等」の欄は関数を使用していません。ここの勘定科目を使用する人はご自身でカスタマイズをお願いします。</t>
  </si>
  <si>
    <t>②月別売上</t>
  </si>
  <si>
    <t>未完成な部分が多いです。
月ごとの売上や仕入れ学の合計が表示されていれば基本的は問題ありません。
申告時に参考にしてください。</t>
  </si>
  <si>
    <t>③減価償却</t>
  </si>
  <si>
    <t>未完成な部分が多いです。
必要な方はご自身でカスタマイズしてください。</t>
  </si>
  <si>
    <t>④貸借対照表</t>
  </si>
  <si>
    <t>水色部分の合計値が期首期末左右でそれぞれ一致していれば問題なく処理できています。</t>
  </si>
  <si>
    <t>総勘定元帳</t>
  </si>
  <si>
    <t>オレンジ部分に勘定科目を入力すると、その科目の書類が作成されます。
行が足りない場合は、オートフィルで増やしてください。
確定申告後に保存用書類を印刷する時にご使用ください。</t>
  </si>
  <si>
    <t>集計確認・分析</t>
  </si>
  <si>
    <t>分析用シートですが、ごちゃごちゃしています。不要なら消してください。
仕訳帳で使った科目で足りないものはオレンジ部分に追加してください。
□で囲まれた部分以外は行の挿入→オートフィルで自動生成できます。
ここの設定はごちゃごちゃしてます。要改善です。</t>
  </si>
  <si>
    <t>固定資産台帳</t>
  </si>
  <si>
    <t>資産となるものが事業にある場合記入。まだ作っていません。</t>
  </si>
  <si>
    <t>開業費記録</t>
  </si>
  <si>
    <t>開業前にかかった費用を記録しておくもの</t>
  </si>
  <si>
    <t>Ver</t>
  </si>
  <si>
    <t>修正メモ</t>
  </si>
  <si>
    <t>0.2.1</t>
  </si>
  <si>
    <t>勘定科目の事業主借が「資産」になっていたのを負債に直しました</t>
  </si>
  <si>
    <t>④貸借対照表のH２７の引用元が間違っていたので修正しました。</t>
  </si>
  <si>
    <t>次年度元入金の計算式を修正し、注意文を入れました。</t>
  </si>
  <si>
    <t>0.2.2</t>
  </si>
  <si>
    <t>勘定科目１２３に「開業費」を追加しました。</t>
  </si>
  <si>
    <t>勘定科目３0に「繰延資産償却」を追加しました。</t>
  </si>
  <si>
    <t>勘定科目６に「商品」を追加しました。</t>
  </si>
  <si>
    <t>決算書の①②④シートの関数を仕訳帳シートから直接データ抽出するものに変更しました。</t>
  </si>
  <si>
    <t>外注工賃</t>
  </si>
  <si>
    <t>0.2.3</t>
  </si>
  <si>
    <t>期首元入金の中の売掛金などが複数種類あった場合、合計値を表示できるように変更。それに伴い１月１日の売上金による資産増加は除外するように関数変更。</t>
  </si>
  <si>
    <t>0.2.4</t>
  </si>
  <si>
    <t>勘定科目の『工具　器具　備品』の文字間の空白を全角に直しました。</t>
  </si>
  <si>
    <t>0.3.0</t>
  </si>
  <si>
    <t>仕訳帳のデザイン変更</t>
  </si>
  <si>
    <t>0.3.1</t>
  </si>
  <si>
    <t>総勘定元帳の貸方と借方の表記を修正（ただし、状況に応じて個々で表記を修正すること）</t>
  </si>
  <si>
    <t>①青色申告決算書シートの４５番、所得が６５万円未満の場合０と表示</t>
  </si>
  <si>
    <t>0.3.2</t>
  </si>
  <si>
    <t>【損益計算書】【月別売上】シートのエラーを修正＆仕訳帳の逆処理に対応出来る関数に変更</t>
  </si>
  <si>
    <t>課題</t>
  </si>
  <si>
    <t>勘定科目の「棚卸資産」の「商品」などの科目を使った再構成</t>
  </si>
  <si>
    <t>Etaxに読み込ませて申請できるデータ形式の出力</t>
  </si>
  <si>
    <t>「各種引当金準備金等」の勘定科目を処理できるようにしたい</t>
  </si>
  <si>
    <t>※自分で科目を追加した場合は①【損益計算書】シートか④【貸借対照表】シートにも追加すること。分析したい場合は【集計確認・分析】シートにも追加すること</t>
  </si>
  <si>
    <t>コード</t>
  </si>
  <si>
    <t>分類</t>
  </si>
  <si>
    <t>売上（収入）</t>
  </si>
  <si>
    <t>収益</t>
  </si>
  <si>
    <t>期首商品（製品)棚卸高</t>
  </si>
  <si>
    <t>売上原価</t>
  </si>
  <si>
    <t>仕入金額（製品製造原価）</t>
  </si>
  <si>
    <t>-</t>
  </si>
  <si>
    <t>期末商品（製品)棚卸高</t>
  </si>
  <si>
    <t xml:space="preserve"> 売上原価</t>
  </si>
  <si>
    <t>商品</t>
  </si>
  <si>
    <t>資産</t>
  </si>
  <si>
    <t>租税公課</t>
  </si>
  <si>
    <t>費用</t>
  </si>
  <si>
    <t>荷造運賃</t>
  </si>
  <si>
    <t>水道光熱費</t>
  </si>
  <si>
    <t>旅費交通費</t>
  </si>
  <si>
    <t>通信費</t>
  </si>
  <si>
    <t>広告宣伝費</t>
  </si>
  <si>
    <t>接待交際費</t>
  </si>
  <si>
    <t>損害保険料</t>
  </si>
  <si>
    <t>修繕費</t>
  </si>
  <si>
    <t>消耗品費</t>
  </si>
  <si>
    <t>減価償却費</t>
  </si>
  <si>
    <t>福利厚生費</t>
  </si>
  <si>
    <t>給料賃金</t>
  </si>
  <si>
    <t>利子割引料</t>
  </si>
  <si>
    <t>地代家賃</t>
  </si>
  <si>
    <t>貸倒金</t>
  </si>
  <si>
    <t>雑費</t>
  </si>
  <si>
    <t>貸倒引当金戻入</t>
  </si>
  <si>
    <t>専従者給与</t>
  </si>
  <si>
    <t>貸倒引当金繰入</t>
  </si>
  <si>
    <t>現金</t>
  </si>
  <si>
    <t>当座預金</t>
  </si>
  <si>
    <t>定期預金</t>
  </si>
  <si>
    <t>その他の預金</t>
  </si>
  <si>
    <t>受取手形</t>
  </si>
  <si>
    <t>売掛金</t>
  </si>
  <si>
    <t>有価証券</t>
  </si>
  <si>
    <t>棚卸資産</t>
  </si>
  <si>
    <t>前払金</t>
  </si>
  <si>
    <t>貸付金</t>
  </si>
  <si>
    <t>建物</t>
  </si>
  <si>
    <t>建物付属設備</t>
  </si>
  <si>
    <t>機械装置</t>
  </si>
  <si>
    <t>車両運搬具</t>
  </si>
  <si>
    <t>工具　器具　備品</t>
  </si>
  <si>
    <t>土地</t>
  </si>
  <si>
    <t>開業費</t>
  </si>
  <si>
    <t>事業主貸</t>
  </si>
  <si>
    <t xml:space="preserve"> -資本</t>
  </si>
  <si>
    <t>支払手形</t>
  </si>
  <si>
    <t>負債</t>
  </si>
  <si>
    <t>買掛金</t>
  </si>
  <si>
    <t>借入金</t>
  </si>
  <si>
    <t>未払金</t>
  </si>
  <si>
    <t>前受金</t>
  </si>
  <si>
    <t>預り金</t>
  </si>
  <si>
    <t>貸倒引当金</t>
  </si>
  <si>
    <t>評価勘定</t>
  </si>
  <si>
    <t>負債等</t>
  </si>
  <si>
    <t>事業主借</t>
  </si>
  <si>
    <t>元入金</t>
  </si>
  <si>
    <t>資本</t>
  </si>
  <si>
    <t>期首原材料棚卸高</t>
  </si>
  <si>
    <t>原材料費</t>
  </si>
  <si>
    <t>原材料仕入高</t>
  </si>
  <si>
    <t>期末原材料棚卸高</t>
  </si>
  <si>
    <t xml:space="preserve"> -原材料費</t>
  </si>
  <si>
    <t>労務費(製造原価)</t>
  </si>
  <si>
    <t>労務費</t>
  </si>
  <si>
    <t>外注工賃(製造原価)</t>
  </si>
  <si>
    <t>製造経費</t>
  </si>
  <si>
    <t>電力費(製造原価)</t>
  </si>
  <si>
    <t>水道光熱費(製造原価)</t>
  </si>
  <si>
    <t>修繕費(製造原価)</t>
  </si>
  <si>
    <t>減価償却費(製造原価)</t>
  </si>
  <si>
    <t>雑費(製造原価)</t>
  </si>
  <si>
    <t>期首半製品・仕掛品棚卸高</t>
  </si>
  <si>
    <t>製造原価</t>
  </si>
  <si>
    <t>期末半製品・仕掛品棚卸高</t>
  </si>
  <si>
    <t xml:space="preserve"> -製造原価</t>
  </si>
  <si>
    <t>↓入力不可</t>
  </si>
  <si>
    <t>仕訳
番号</t>
  </si>
  <si>
    <t>日付</t>
  </si>
  <si>
    <t>勘定科目
コード(借方)</t>
  </si>
  <si>
    <t>借方
金額</t>
  </si>
  <si>
    <t>摘要</t>
  </si>
  <si>
    <t>勘定科目
コード(貸方)</t>
  </si>
  <si>
    <t>貸方
金額</t>
  </si>
  <si>
    <t>借方科目</t>
  </si>
  <si>
    <t>貸方科目</t>
  </si>
  <si>
    <t>メモ</t>
  </si>
  <si>
    <t>フリースペース</t>
  </si>
  <si>
    <t>令和</t>
  </si>
  <si>
    <t>年分所得税青色申告決算書（一般用）</t>
  </si>
  <si>
    <t>住所</t>
  </si>
  <si>
    <r>
      <rPr>
        <sz val="10"/>
        <rFont val="ＭＳ Ｐ明朝"/>
        <charset val="128"/>
      </rPr>
      <t>フリガナ</t>
    </r>
    <r>
      <rPr>
        <sz val="11"/>
        <rFont val="ＭＳ Ｐ明朝"/>
        <charset val="128"/>
      </rPr>
      <t xml:space="preserve">
氏名</t>
    </r>
  </si>
  <si>
    <t>事業所
所在地</t>
  </si>
  <si>
    <t>電話番号</t>
  </si>
  <si>
    <t>業種名</t>
  </si>
  <si>
    <t>屋号</t>
  </si>
  <si>
    <t>加入団体名</t>
  </si>
  <si>
    <t>令和　　　年　　　月　　　日</t>
  </si>
  <si>
    <t>損　益　計　算　書　（自１月１日　至１２月３１日）</t>
  </si>
  <si>
    <t>科　　目</t>
  </si>
  <si>
    <r>
      <rPr>
        <sz val="11"/>
        <rFont val="ＭＳ Ｐ明朝"/>
        <charset val="128"/>
      </rPr>
      <t>金　　額　</t>
    </r>
    <r>
      <rPr>
        <sz val="8"/>
        <rFont val="ＭＳ Ｐ明朝"/>
        <charset val="128"/>
      </rPr>
      <t>(円)</t>
    </r>
  </si>
  <si>
    <t>売上(収入)金額
（雑収入を含む）</t>
  </si>
  <si>
    <t>①</t>
  </si>
  <si>
    <t>経費</t>
  </si>
  <si>
    <t>⑰</t>
  </si>
  <si>
    <t>各</t>
  </si>
  <si>
    <t>繰</t>
  </si>
  <si>
    <t>㉞</t>
  </si>
  <si>
    <t>売上</t>
  </si>
  <si>
    <t>期首商品(製品)
棚　卸　高</t>
  </si>
  <si>
    <t>②</t>
  </si>
  <si>
    <t>⑱</t>
  </si>
  <si>
    <t>種</t>
  </si>
  <si>
    <t>戻</t>
  </si>
  <si>
    <t>㉟</t>
  </si>
  <si>
    <t>原価</t>
  </si>
  <si>
    <t>仕入金額
（製品製造原価）</t>
  </si>
  <si>
    <t>③</t>
  </si>
  <si>
    <t>⑲</t>
  </si>
  <si>
    <t>引</t>
  </si>
  <si>
    <t>額</t>
  </si>
  <si>
    <t>㊱</t>
  </si>
  <si>
    <t>小計(②+③)</t>
  </si>
  <si>
    <t>④</t>
  </si>
  <si>
    <t>⑳</t>
  </si>
  <si>
    <t>当</t>
  </si>
  <si>
    <t>等</t>
  </si>
  <si>
    <t>計</t>
  </si>
  <si>
    <t>㊲</t>
  </si>
  <si>
    <t>期末商品(製品)
棚　卸　高</t>
  </si>
  <si>
    <t>⑤</t>
  </si>
  <si>
    <t>㉑</t>
  </si>
  <si>
    <t>金</t>
  </si>
  <si>
    <t>㊳</t>
  </si>
  <si>
    <t>差引原価(④－⑤)</t>
  </si>
  <si>
    <t>⑥</t>
  </si>
  <si>
    <t>㉒</t>
  </si>
  <si>
    <t>準</t>
  </si>
  <si>
    <t>入</t>
  </si>
  <si>
    <t>㊴</t>
  </si>
  <si>
    <t>差引金額
（①－⑥）</t>
  </si>
  <si>
    <t>⑦</t>
  </si>
  <si>
    <t>㉓</t>
  </si>
  <si>
    <t>備</t>
  </si>
  <si>
    <t>㊵</t>
  </si>
  <si>
    <t>⑧</t>
  </si>
  <si>
    <t>㉔</t>
  </si>
  <si>
    <t>㊶</t>
  </si>
  <si>
    <t>⑨</t>
  </si>
  <si>
    <t>㉕</t>
  </si>
  <si>
    <t>㊷</t>
  </si>
  <si>
    <t>⑩</t>
  </si>
  <si>
    <t>㉖</t>
  </si>
  <si>
    <t>青色申告特別控除前の所得金額
（㉝+㊲－㊷）</t>
  </si>
  <si>
    <t>㊸</t>
  </si>
  <si>
    <t>⑪</t>
  </si>
  <si>
    <t>㉗</t>
  </si>
  <si>
    <t>青色申告特別控除額</t>
  </si>
  <si>
    <t>㊹</t>
  </si>
  <si>
    <t>⑫</t>
  </si>
  <si>
    <t>㉘</t>
  </si>
  <si>
    <t>所得金額
（㊸－㊹）</t>
  </si>
  <si>
    <t>㊺</t>
  </si>
  <si>
    <t>⑬</t>
  </si>
  <si>
    <t>㉙</t>
  </si>
  <si>
    <t>⑭</t>
  </si>
  <si>
    <t>㉚</t>
  </si>
  <si>
    <t>⑮</t>
  </si>
  <si>
    <t>㉛</t>
  </si>
  <si>
    <t>⑯</t>
  </si>
  <si>
    <t>㉜</t>
  </si>
  <si>
    <t>差引金額
（⑦－⑫）</t>
  </si>
  <si>
    <t>㉝</t>
  </si>
  <si>
    <t>○月別売上金額及び仕入金額</t>
  </si>
  <si>
    <t>○給料賃金の内訳</t>
  </si>
  <si>
    <t>月</t>
  </si>
  <si>
    <r>
      <rPr>
        <sz val="11"/>
        <rFont val="ＭＳ Ｐ明朝"/>
        <charset val="128"/>
      </rPr>
      <t>売上(収入)金額　</t>
    </r>
    <r>
      <rPr>
        <sz val="8"/>
        <rFont val="ＭＳ Ｐ明朝"/>
        <charset val="128"/>
      </rPr>
      <t>円</t>
    </r>
  </si>
  <si>
    <r>
      <rPr>
        <sz val="11"/>
        <rFont val="ＭＳ Ｐ明朝"/>
        <charset val="128"/>
      </rPr>
      <t>仕入金額　</t>
    </r>
    <r>
      <rPr>
        <sz val="8"/>
        <rFont val="ＭＳ Ｐ明朝"/>
        <charset val="128"/>
      </rPr>
      <t>円</t>
    </r>
  </si>
  <si>
    <t>略</t>
  </si>
  <si>
    <t>○専従者給与の内訳</t>
  </si>
  <si>
    <t>家事消費等</t>
  </si>
  <si>
    <t>雑収入</t>
  </si>
  <si>
    <t>うち軽減税率対象</t>
  </si>
  <si>
    <t>○地帯家賃の内訳</t>
  </si>
  <si>
    <t>○貸倒引当金繰入額の計算</t>
  </si>
  <si>
    <t>○青色申告特別控除額の計算</t>
  </si>
  <si>
    <r>
      <rPr>
        <sz val="11"/>
        <rFont val="ＭＳ Ｐ明朝"/>
        <charset val="128"/>
      </rPr>
      <t>金額　</t>
    </r>
    <r>
      <rPr>
        <sz val="8"/>
        <rFont val="ＭＳ Ｐ明朝"/>
        <charset val="128"/>
      </rPr>
      <t>円</t>
    </r>
  </si>
  <si>
    <t>本年度分の不動産所得の金額</t>
  </si>
  <si>
    <t>青色申告特別控除前の所得金額</t>
  </si>
  <si>
    <t>青色申告特別控除</t>
  </si>
  <si>
    <t>６５万又は５５万円と⑥のいずれか少ない方の金額</t>
  </si>
  <si>
    <t>を受ける場合</t>
  </si>
  <si>
    <t>上記以外の場合</t>
  </si>
  <si>
    <t>１０万円と⑥のいずれか少ない方の金額</t>
  </si>
  <si>
    <t>○売上（収入）金額の明細</t>
  </si>
  <si>
    <t>◎本年中における特殊事項</t>
  </si>
  <si>
    <t>○仕入金額の明細</t>
  </si>
  <si>
    <t>○減価償却費の計算</t>
  </si>
  <si>
    <t>○利子割引料の内訳</t>
  </si>
  <si>
    <t>○税理士・弁護士等の報酬・料金の内訳</t>
  </si>
  <si>
    <t>貸借対照表（資産負債調）</t>
  </si>
  <si>
    <t>製造原価の計算</t>
  </si>
  <si>
    <t>資産の部</t>
  </si>
  <si>
    <t>負債・資本の部</t>
  </si>
  <si>
    <t>科目</t>
  </si>
  <si>
    <t>１月１日（期首）</t>
  </si>
  <si>
    <t>１２月３１日（期末）</t>
  </si>
  <si>
    <t>前払い金</t>
  </si>
  <si>
    <t>青色申告特別控除
前の所得金額</t>
  </si>
  <si>
    <t>合計</t>
  </si>
  <si>
    <t>【総勘定元帳】</t>
  </si>
  <si>
    <t>▼から選択できます。</t>
  </si>
  <si>
    <t>仕分け番号</t>
  </si>
  <si>
    <t>借方勘定科目</t>
  </si>
  <si>
    <t>貸方金額</t>
  </si>
  <si>
    <t>貸方勘定科目</t>
  </si>
  <si>
    <t>借方金額</t>
  </si>
  <si>
    <t>残高・合計</t>
  </si>
  <si>
    <t>貸方累計</t>
  </si>
  <si>
    <t>借方累計</t>
  </si>
  <si>
    <t>期首</t>
  </si>
  <si>
    <t>期末</t>
  </si>
  <si>
    <t>負債・資本</t>
  </si>
  <si>
    <t>外注公費</t>
  </si>
  <si>
    <t>貸借／損益</t>
  </si>
  <si>
    <t>損益</t>
  </si>
  <si>
    <t>チェック</t>
  </si>
  <si>
    <t>←0になればOK</t>
  </si>
  <si>
    <t>来期元入金</t>
  </si>
  <si>
    <t>※貸借対照表の『元入金』には初期棚卸資産の額も含まれるので注意</t>
  </si>
  <si>
    <t>来期初棚卸資産</t>
  </si>
  <si>
    <t>売上（集計）</t>
  </si>
  <si>
    <t>仕入（集計）</t>
  </si>
  <si>
    <t>開業費を記録しましょう</t>
  </si>
  <si>
    <t>内容</t>
  </si>
  <si>
    <t>保存書類の種類</t>
  </si>
  <si>
    <t>値段</t>
  </si>
</sst>
</file>

<file path=xl/styles.xml><?xml version="1.0" encoding="utf-8"?>
<styleSheet xmlns="http://schemas.openxmlformats.org/spreadsheetml/2006/main">
  <numFmts count="7">
    <numFmt numFmtId="176" formatCode="m/d;@"/>
    <numFmt numFmtId="43" formatCode="_ * #,##0.00_ ;_ * \-#,##0.00_ ;_ * &quot;-&quot;??_ ;_ @_ "/>
    <numFmt numFmtId="177" formatCode="_ * #,##0_ ;_ * \-#,##0_ ;_ * &quot;-&quot;??_ ;_ @_ "/>
    <numFmt numFmtId="178" formatCode="_-&quot;\&quot;* #,##0.00_-\ ;\-&quot;\&quot;* #,##0.00_-\ ;_-&quot;\&quot;* &quot;-&quot;??_-\ ;_-@_-"/>
    <numFmt numFmtId="179" formatCode="0&quot;月&quot;"/>
    <numFmt numFmtId="180" formatCode="#,##0_ "/>
    <numFmt numFmtId="181" formatCode="_-&quot;\&quot;* #,##0_-\ ;\-&quot;\&quot;* #,##0_-\ ;_-&quot;\&quot;* &quot;-&quot;??_-\ ;_-@_-"/>
  </numFmts>
  <fonts count="59">
    <font>
      <sz val="11"/>
      <color theme="1"/>
      <name val="ＭＳ Ｐゴシック"/>
      <charset val="134"/>
      <scheme val="minor"/>
    </font>
    <font>
      <sz val="14"/>
      <color theme="1"/>
      <name val="ＭＳ Ｐ明朝"/>
      <charset val="134"/>
    </font>
    <font>
      <sz val="11"/>
      <color theme="1"/>
      <name val="ＭＳ Ｐ明朝"/>
      <charset val="134"/>
    </font>
    <font>
      <sz val="16"/>
      <color theme="1"/>
      <name val="ＭＳ Ｐ明朝"/>
      <charset val="134"/>
    </font>
    <font>
      <sz val="16"/>
      <name val="ＭＳ Ｐ明朝"/>
      <charset val="128"/>
    </font>
    <font>
      <b/>
      <sz val="16"/>
      <name val="ＭＳ Ｐ明朝"/>
      <charset val="128"/>
    </font>
    <font>
      <b/>
      <sz val="16"/>
      <color theme="1"/>
      <name val="ＭＳ Ｐ明朝"/>
      <charset val="134"/>
    </font>
    <font>
      <sz val="12"/>
      <color theme="1"/>
      <name val="ＭＳ Ｐ明朝"/>
      <charset val="134"/>
    </font>
    <font>
      <sz val="18"/>
      <color theme="1"/>
      <name val="ＭＳ Ｐ明朝"/>
      <charset val="134"/>
    </font>
    <font>
      <sz val="18"/>
      <color rgb="FFFF0000"/>
      <name val="ＭＳ Ｐ明朝"/>
      <charset val="134"/>
    </font>
    <font>
      <b/>
      <sz val="11"/>
      <color theme="2" tint="-0.5"/>
      <name val="ＭＳ Ｐ明朝"/>
      <charset val="128"/>
    </font>
    <font>
      <b/>
      <sz val="11"/>
      <name val="ＭＳ Ｐ明朝"/>
      <charset val="128"/>
    </font>
    <font>
      <b/>
      <sz val="18"/>
      <name val="ＭＳ Ｐ明朝"/>
      <charset val="128"/>
    </font>
    <font>
      <b/>
      <sz val="14"/>
      <name val="ＭＳ Ｐ明朝"/>
      <charset val="128"/>
    </font>
    <font>
      <b/>
      <sz val="14"/>
      <color theme="2" tint="-0.5"/>
      <name val="ＭＳ Ｐ明朝"/>
      <charset val="128"/>
    </font>
    <font>
      <b/>
      <sz val="6"/>
      <color theme="2" tint="-0.5"/>
      <name val="ＭＳ Ｐ明朝"/>
      <charset val="128"/>
    </font>
    <font>
      <b/>
      <sz val="11"/>
      <color theme="2" tint="-0.5"/>
      <name val="ＭＳ Ｐ明朝"/>
      <charset val="134"/>
    </font>
    <font>
      <sz val="11"/>
      <name val="ＭＳ Ｐ明朝"/>
      <charset val="128"/>
    </font>
    <font>
      <sz val="18"/>
      <name val="ＭＳ Ｐ明朝"/>
      <charset val="128"/>
    </font>
    <font>
      <sz val="6"/>
      <name val="ＭＳ Ｐ明朝"/>
      <charset val="128"/>
    </font>
    <font>
      <sz val="8"/>
      <name val="ＭＳ Ｐ明朝"/>
      <charset val="128"/>
    </font>
    <font>
      <sz val="14"/>
      <name val="ＭＳ Ｐ明朝"/>
      <charset val="128"/>
    </font>
    <font>
      <b/>
      <sz val="10"/>
      <name val="ＭＳ Ｐ明朝"/>
      <charset val="128"/>
    </font>
    <font>
      <b/>
      <sz val="8"/>
      <name val="ＭＳ Ｐ明朝"/>
      <charset val="128"/>
    </font>
    <font>
      <b/>
      <sz val="9"/>
      <name val="ＭＳ Ｐ明朝"/>
      <charset val="128"/>
    </font>
    <font>
      <sz val="10"/>
      <name val="ＭＳ Ｐ明朝"/>
      <charset val="128"/>
    </font>
    <font>
      <sz val="9"/>
      <name val="ＭＳ Ｐ明朝"/>
      <charset val="128"/>
    </font>
    <font>
      <b/>
      <sz val="14"/>
      <color rgb="FFFF0000"/>
      <name val="メイリオ"/>
      <charset val="134"/>
    </font>
    <font>
      <b/>
      <sz val="16"/>
      <color rgb="FFFF0000"/>
      <name val="メイリオ"/>
      <charset val="134"/>
    </font>
    <font>
      <sz val="11"/>
      <color theme="1"/>
      <name val="メイリオ"/>
      <charset val="134"/>
    </font>
    <font>
      <sz val="18"/>
      <color theme="1"/>
      <name val="メイリオ"/>
      <charset val="134"/>
    </font>
    <font>
      <sz val="22"/>
      <color theme="1"/>
      <name val="メイリオ"/>
      <charset val="134"/>
    </font>
    <font>
      <u/>
      <sz val="20"/>
      <color rgb="FF0000FF"/>
      <name val="ＭＳ Ｐゴシック"/>
      <charset val="0"/>
      <scheme val="minor"/>
    </font>
    <font>
      <b/>
      <sz val="11"/>
      <color theme="1"/>
      <name val="メイリオ"/>
      <charset val="134"/>
    </font>
    <font>
      <b/>
      <sz val="22"/>
      <color theme="1"/>
      <name val="メイリオ"/>
      <charset val="134"/>
    </font>
    <font>
      <u/>
      <sz val="20"/>
      <color rgb="FF0000FF"/>
      <name val="メイリオ"/>
      <charset val="0"/>
    </font>
    <font>
      <b/>
      <sz val="18"/>
      <color theme="1"/>
      <name val="メイリオ"/>
      <charset val="134"/>
    </font>
    <font>
      <sz val="14"/>
      <color theme="1"/>
      <name val="メイリオ"/>
      <charset val="134"/>
    </font>
    <font>
      <sz val="16"/>
      <color theme="1"/>
      <name val="メイリオ"/>
      <charset val="134"/>
    </font>
    <font>
      <sz val="11"/>
      <color theme="1"/>
      <name val="ＭＳ Ｐゴシック"/>
      <charset val="134"/>
    </font>
    <font>
      <sz val="11"/>
      <color theme="0"/>
      <name val="ＭＳ Ｐゴシック"/>
      <charset val="0"/>
      <scheme val="minor"/>
    </font>
    <font>
      <sz val="11"/>
      <color theme="1"/>
      <name val="ＭＳ Ｐゴシック"/>
      <charset val="0"/>
      <scheme val="minor"/>
    </font>
    <font>
      <b/>
      <sz val="11"/>
      <color rgb="FFFFFFFF"/>
      <name val="ＭＳ Ｐゴシック"/>
      <charset val="0"/>
      <scheme val="minor"/>
    </font>
    <font>
      <b/>
      <sz val="15"/>
      <color theme="3"/>
      <name val="ＭＳ Ｐゴシック"/>
      <charset val="134"/>
      <scheme val="minor"/>
    </font>
    <font>
      <sz val="11"/>
      <color rgb="FF9C0006"/>
      <name val="ＭＳ Ｐゴシック"/>
      <charset val="0"/>
      <scheme val="minor"/>
    </font>
    <font>
      <b/>
      <sz val="11"/>
      <color theme="1"/>
      <name val="ＭＳ Ｐゴシック"/>
      <charset val="0"/>
      <scheme val="minor"/>
    </font>
    <font>
      <b/>
      <sz val="13"/>
      <color theme="3"/>
      <name val="ＭＳ Ｐゴシック"/>
      <charset val="134"/>
      <scheme val="minor"/>
    </font>
    <font>
      <sz val="11"/>
      <color rgb="FFFF0000"/>
      <name val="ＭＳ Ｐゴシック"/>
      <charset val="0"/>
      <scheme val="minor"/>
    </font>
    <font>
      <b/>
      <sz val="11"/>
      <color rgb="FF3F3F3F"/>
      <name val="ＭＳ Ｐゴシック"/>
      <charset val="0"/>
      <scheme val="minor"/>
    </font>
    <font>
      <sz val="11"/>
      <color rgb="FF006100"/>
      <name val="ＭＳ Ｐゴシック"/>
      <charset val="0"/>
      <scheme val="minor"/>
    </font>
    <font>
      <b/>
      <sz val="11"/>
      <color rgb="FFFA7D00"/>
      <name val="ＭＳ Ｐゴシック"/>
      <charset val="0"/>
      <scheme val="minor"/>
    </font>
    <font>
      <b/>
      <sz val="11"/>
      <color theme="3"/>
      <name val="ＭＳ Ｐゴシック"/>
      <charset val="134"/>
      <scheme val="minor"/>
    </font>
    <font>
      <i/>
      <sz val="11"/>
      <color rgb="FF7F7F7F"/>
      <name val="ＭＳ Ｐゴシック"/>
      <charset val="0"/>
      <scheme val="minor"/>
    </font>
    <font>
      <u/>
      <sz val="11"/>
      <color rgb="FF800080"/>
      <name val="ＭＳ Ｐゴシック"/>
      <charset val="0"/>
      <scheme val="minor"/>
    </font>
    <font>
      <sz val="11"/>
      <color rgb="FF3F3F76"/>
      <name val="ＭＳ Ｐゴシック"/>
      <charset val="0"/>
      <scheme val="minor"/>
    </font>
    <font>
      <sz val="11"/>
      <color rgb="FF9C6500"/>
      <name val="ＭＳ Ｐゴシック"/>
      <charset val="0"/>
      <scheme val="minor"/>
    </font>
    <font>
      <b/>
      <sz val="18"/>
      <color theme="3"/>
      <name val="ＭＳ Ｐゴシック"/>
      <charset val="134"/>
      <scheme val="minor"/>
    </font>
    <font>
      <sz val="11"/>
      <color rgb="FFFA7D00"/>
      <name val="ＭＳ Ｐゴシック"/>
      <charset val="0"/>
      <scheme val="minor"/>
    </font>
    <font>
      <u/>
      <sz val="11"/>
      <color rgb="FF0000FF"/>
      <name val="ＭＳ Ｐゴシック"/>
      <charset val="0"/>
      <scheme val="minor"/>
    </font>
  </fonts>
  <fills count="50">
    <fill>
      <patternFill patternType="none"/>
    </fill>
    <fill>
      <patternFill patternType="gray125"/>
    </fill>
    <fill>
      <patternFill patternType="solid">
        <fgColor theme="0" tint="-0.25"/>
        <bgColor indexed="64"/>
      </patternFill>
    </fill>
    <fill>
      <patternFill patternType="solid">
        <fgColor theme="0" tint="-0.249977111117893"/>
        <bgColor indexed="64"/>
      </patternFill>
    </fill>
    <fill>
      <patternFill patternType="solid">
        <fgColor theme="9" tint="0.6"/>
        <bgColor rgb="FFD9D9D9"/>
      </patternFill>
    </fill>
    <fill>
      <patternFill patternType="solid">
        <fgColor theme="7" tint="0.8"/>
        <bgColor indexed="64"/>
      </patternFill>
    </fill>
    <fill>
      <patternFill patternType="solid">
        <fgColor rgb="FFFECBFF"/>
        <bgColor indexed="64"/>
      </patternFill>
    </fill>
    <fill>
      <patternFill patternType="solid">
        <fgColor theme="5" tint="0.6"/>
        <bgColor rgb="FFFFCCCC"/>
      </patternFill>
    </fill>
    <fill>
      <patternFill patternType="solid">
        <fgColor theme="4" tint="0.6"/>
        <bgColor rgb="FFB4C7E7"/>
      </patternFill>
    </fill>
    <fill>
      <patternFill patternType="solid">
        <fgColor theme="3" tint="0.6"/>
        <bgColor rgb="FFF8CBAD"/>
      </patternFill>
    </fill>
    <fill>
      <patternFill patternType="solid">
        <fgColor theme="8" tint="0.599993896298105"/>
        <bgColor indexed="64"/>
      </patternFill>
    </fill>
    <fill>
      <patternFill patternType="solid">
        <fgColor theme="3" tint="0.6"/>
        <bgColor indexed="64"/>
      </patternFill>
    </fill>
    <fill>
      <patternFill patternType="solid">
        <fgColor theme="9" tint="0.599993896298105"/>
        <bgColor indexed="64"/>
      </patternFill>
    </fill>
    <fill>
      <patternFill patternType="solid">
        <fgColor theme="5" tint="0.8"/>
        <bgColor indexed="64"/>
      </patternFill>
    </fill>
    <fill>
      <patternFill patternType="solid">
        <fgColor theme="9" tint="0.8"/>
        <bgColor indexed="64"/>
      </patternFill>
    </fill>
    <fill>
      <patternFill patternType="solid">
        <fgColor theme="4" tint="0.8"/>
        <bgColor indexed="64"/>
      </patternFill>
    </fill>
    <fill>
      <patternFill patternType="solid">
        <fgColor theme="0" tint="-0.05"/>
        <bgColor indexed="64"/>
      </patternFill>
    </fill>
    <fill>
      <patternFill patternType="solid">
        <fgColor theme="2" tint="-0.1"/>
        <bgColor indexed="64"/>
      </patternFill>
    </fill>
    <fill>
      <patternFill patternType="solid">
        <fgColor theme="4" tint="0.6"/>
        <bgColor indexed="64"/>
      </patternFill>
    </fill>
    <fill>
      <patternFill patternType="solid">
        <fgColor theme="9" tint="0.6"/>
        <bgColor indexed="64"/>
      </patternFill>
    </fill>
    <fill>
      <patternFill patternType="solid">
        <fgColor rgb="FFFFFF00"/>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rgb="FFA5A5A5"/>
        <bgColor indexed="64"/>
      </patternFill>
    </fill>
    <fill>
      <patternFill patternType="solid">
        <fgColor rgb="FFFFFFCC"/>
        <bgColor indexed="64"/>
      </patternFill>
    </fill>
    <fill>
      <patternFill patternType="solid">
        <fgColor theme="6"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8"/>
        <bgColor indexed="64"/>
      </patternFill>
    </fill>
    <fill>
      <patternFill patternType="solid">
        <fgColor theme="5" tint="0.599993896298105"/>
        <bgColor indexed="64"/>
      </patternFill>
    </fill>
    <fill>
      <patternFill patternType="solid">
        <fgColor rgb="FFF2F2F2"/>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rgb="FFC6EFCE"/>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5"/>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9"/>
        <bgColor indexed="64"/>
      </patternFill>
    </fill>
    <fill>
      <patternFill patternType="solid">
        <fgColor rgb="FFFFCC99"/>
        <bgColor indexed="64"/>
      </patternFill>
    </fill>
    <fill>
      <patternFill patternType="solid">
        <fgColor theme="6" tint="0.399975585192419"/>
        <bgColor indexed="64"/>
      </patternFill>
    </fill>
    <fill>
      <patternFill patternType="solid">
        <fgColor theme="6"/>
        <bgColor indexed="64"/>
      </patternFill>
    </fill>
    <fill>
      <patternFill patternType="solid">
        <fgColor theme="9" tint="0.799981688894314"/>
        <bgColor indexed="64"/>
      </patternFill>
    </fill>
    <fill>
      <patternFill patternType="solid">
        <fgColor theme="4"/>
        <bgColor indexed="64"/>
      </patternFill>
    </fill>
    <fill>
      <patternFill patternType="solid">
        <fgColor rgb="FFFFEB9C"/>
        <bgColor indexed="64"/>
      </patternFill>
    </fill>
    <fill>
      <patternFill patternType="solid">
        <fgColor theme="7"/>
        <bgColor indexed="64"/>
      </patternFill>
    </fill>
    <fill>
      <patternFill patternType="solid">
        <fgColor theme="4" tint="0.799981688894314"/>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double">
        <color auto="1"/>
      </top>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double">
        <color rgb="FFFF8001"/>
      </bottom>
      <diagonal/>
    </border>
  </borders>
  <cellStyleXfs count="49">
    <xf numFmtId="0" fontId="0" fillId="0" borderId="0">
      <alignment vertical="center"/>
    </xf>
    <xf numFmtId="43" fontId="0" fillId="0" borderId="0" applyFont="0" applyFill="0" applyBorder="0" applyAlignment="0" applyProtection="0">
      <alignment vertical="center"/>
    </xf>
    <xf numFmtId="0" fontId="54" fillId="42" borderId="33" applyNumberFormat="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0" fontId="41" fillId="10" borderId="0" applyNumberFormat="0" applyBorder="0" applyAlignment="0" applyProtection="0">
      <alignment vertical="center"/>
    </xf>
    <xf numFmtId="181" fontId="0" fillId="0" borderId="0" applyFont="0" applyFill="0" applyBorder="0" applyAlignment="0" applyProtection="0">
      <alignment vertical="center"/>
    </xf>
    <xf numFmtId="0" fontId="41" fillId="28" borderId="0" applyNumberFormat="0" applyBorder="0" applyAlignment="0" applyProtection="0">
      <alignment vertical="center"/>
    </xf>
    <xf numFmtId="0" fontId="0" fillId="24" borderId="30" applyNumberFormat="0" applyFont="0" applyAlignment="0" applyProtection="0">
      <alignment vertical="center"/>
    </xf>
    <xf numFmtId="9" fontId="0" fillId="0" borderId="0" applyFont="0" applyFill="0" applyBorder="0" applyAlignment="0" applyProtection="0">
      <alignment vertical="center"/>
    </xf>
    <xf numFmtId="0" fontId="58" fillId="0" borderId="0" applyNumberFormat="0" applyFill="0" applyBorder="0" applyAlignment="0" applyProtection="0">
      <alignment vertical="center"/>
    </xf>
    <xf numFmtId="0" fontId="40" fillId="38" borderId="0" applyNumberFormat="0" applyBorder="0" applyAlignment="0" applyProtection="0">
      <alignment vertical="center"/>
    </xf>
    <xf numFmtId="0" fontId="53" fillId="0" borderId="0" applyNumberFormat="0" applyFill="0" applyBorder="0" applyAlignment="0" applyProtection="0">
      <alignment vertical="center"/>
    </xf>
    <xf numFmtId="0" fontId="49" fillId="35" borderId="0" applyNumberFormat="0" applyBorder="0" applyAlignment="0" applyProtection="0">
      <alignment vertical="center"/>
    </xf>
    <xf numFmtId="0" fontId="47" fillId="0" borderId="0" applyNumberFormat="0" applyFill="0" applyBorder="0" applyAlignment="0" applyProtection="0">
      <alignment vertical="center"/>
    </xf>
    <xf numFmtId="0" fontId="57" fillId="0" borderId="35" applyNumberFormat="0" applyFill="0" applyAlignment="0" applyProtection="0">
      <alignment vertical="center"/>
    </xf>
    <xf numFmtId="0" fontId="56"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40" fillId="41" borderId="0" applyNumberFormat="0" applyBorder="0" applyAlignment="0" applyProtection="0">
      <alignment vertical="center"/>
    </xf>
    <xf numFmtId="0" fontId="48" fillId="32" borderId="32" applyNumberFormat="0" applyAlignment="0" applyProtection="0">
      <alignment vertical="center"/>
    </xf>
    <xf numFmtId="0" fontId="43" fillId="0" borderId="29" applyNumberFormat="0" applyFill="0" applyAlignment="0" applyProtection="0">
      <alignment vertical="center"/>
    </xf>
    <xf numFmtId="0" fontId="46" fillId="0" borderId="29" applyNumberFormat="0" applyFill="0" applyAlignment="0" applyProtection="0">
      <alignment vertical="center"/>
    </xf>
    <xf numFmtId="0" fontId="50" fillId="32" borderId="33" applyNumberFormat="0" applyAlignment="0" applyProtection="0">
      <alignment vertical="center"/>
    </xf>
    <xf numFmtId="0" fontId="51" fillId="0" borderId="34" applyNumberFormat="0" applyFill="0" applyAlignment="0" applyProtection="0">
      <alignment vertical="center"/>
    </xf>
    <xf numFmtId="0" fontId="51" fillId="0" borderId="0" applyNumberFormat="0" applyFill="0" applyBorder="0" applyAlignment="0" applyProtection="0">
      <alignment vertical="center"/>
    </xf>
    <xf numFmtId="0" fontId="40" fillId="27" borderId="0" applyNumberFormat="0" applyBorder="0" applyAlignment="0" applyProtection="0">
      <alignment vertical="center"/>
    </xf>
    <xf numFmtId="0" fontId="42" fillId="23" borderId="28" applyNumberFormat="0" applyAlignment="0" applyProtection="0">
      <alignment vertical="center"/>
    </xf>
    <xf numFmtId="0" fontId="41" fillId="34" borderId="0" applyNumberFormat="0" applyBorder="0" applyAlignment="0" applyProtection="0">
      <alignment vertical="center"/>
    </xf>
    <xf numFmtId="0" fontId="45" fillId="0" borderId="31" applyNumberFormat="0" applyFill="0" applyAlignment="0" applyProtection="0">
      <alignment vertical="center"/>
    </xf>
    <xf numFmtId="0" fontId="44" fillId="26" borderId="0" applyNumberFormat="0" applyBorder="0" applyAlignment="0" applyProtection="0">
      <alignment vertical="center"/>
    </xf>
    <xf numFmtId="0" fontId="55" fillId="47" borderId="0" applyNumberFormat="0" applyBorder="0" applyAlignment="0" applyProtection="0">
      <alignment vertical="center"/>
    </xf>
    <xf numFmtId="0" fontId="40" fillId="46" borderId="0" applyNumberFormat="0" applyBorder="0" applyAlignment="0" applyProtection="0">
      <alignment vertical="center"/>
    </xf>
    <xf numFmtId="0" fontId="41" fillId="49" borderId="0" applyNumberFormat="0" applyBorder="0" applyAlignment="0" applyProtection="0">
      <alignment vertical="center"/>
    </xf>
    <xf numFmtId="0" fontId="41" fillId="22" borderId="0" applyNumberFormat="0" applyBorder="0" applyAlignment="0" applyProtection="0">
      <alignment vertical="center"/>
    </xf>
    <xf numFmtId="0" fontId="40" fillId="21" borderId="0" applyNumberFormat="0" applyBorder="0" applyAlignment="0" applyProtection="0">
      <alignment vertical="center"/>
    </xf>
    <xf numFmtId="0" fontId="41" fillId="40" borderId="0" applyNumberFormat="0" applyBorder="0" applyAlignment="0" applyProtection="0">
      <alignment vertical="center"/>
    </xf>
    <xf numFmtId="0" fontId="41" fillId="31" borderId="0" applyNumberFormat="0" applyBorder="0" applyAlignment="0" applyProtection="0">
      <alignment vertical="center"/>
    </xf>
    <xf numFmtId="0" fontId="41" fillId="45" borderId="0" applyNumberFormat="0" applyBorder="0" applyAlignment="0" applyProtection="0">
      <alignment vertical="center"/>
    </xf>
    <xf numFmtId="0" fontId="40" fillId="37" borderId="0" applyNumberFormat="0" applyBorder="0" applyAlignment="0" applyProtection="0">
      <alignment vertical="center"/>
    </xf>
    <xf numFmtId="0" fontId="40" fillId="44" borderId="0" applyNumberFormat="0" applyBorder="0" applyAlignment="0" applyProtection="0">
      <alignment vertical="center"/>
    </xf>
    <xf numFmtId="0" fontId="41" fillId="33" borderId="0" applyNumberFormat="0" applyBorder="0" applyAlignment="0" applyProtection="0">
      <alignment vertical="center"/>
    </xf>
    <xf numFmtId="0" fontId="41" fillId="25" borderId="0" applyNumberFormat="0" applyBorder="0" applyAlignment="0" applyProtection="0">
      <alignment vertical="center"/>
    </xf>
    <xf numFmtId="0" fontId="40" fillId="43" borderId="0" applyNumberFormat="0" applyBorder="0" applyAlignment="0" applyProtection="0">
      <alignment vertical="center"/>
    </xf>
    <xf numFmtId="0" fontId="40" fillId="48" borderId="0" applyNumberFormat="0" applyBorder="0" applyAlignment="0" applyProtection="0">
      <alignment vertical="center"/>
    </xf>
    <xf numFmtId="0" fontId="41" fillId="36" borderId="0" applyNumberFormat="0" applyBorder="0" applyAlignment="0" applyProtection="0">
      <alignment vertical="center"/>
    </xf>
    <xf numFmtId="0" fontId="40" fillId="39" borderId="0" applyNumberFormat="0" applyBorder="0" applyAlignment="0" applyProtection="0">
      <alignment vertical="center"/>
    </xf>
    <xf numFmtId="0" fontId="40" fillId="30" borderId="0" applyNumberFormat="0" applyBorder="0" applyAlignment="0" applyProtection="0">
      <alignment vertical="center"/>
    </xf>
    <xf numFmtId="0" fontId="41" fillId="12" borderId="0" applyNumberFormat="0" applyBorder="0" applyAlignment="0" applyProtection="0">
      <alignment vertical="center"/>
    </xf>
    <xf numFmtId="0" fontId="40" fillId="29" borderId="0" applyNumberFormat="0" applyBorder="0" applyAlignment="0" applyProtection="0">
      <alignment vertical="center"/>
    </xf>
  </cellStyleXfs>
  <cellXfs count="301">
    <xf numFmtId="0" fontId="0" fillId="0" borderId="0" xfId="0">
      <alignment vertical="center"/>
    </xf>
    <xf numFmtId="0" fontId="1" fillId="0" borderId="0" xfId="0" applyFont="1">
      <alignment vertical="center"/>
    </xf>
    <xf numFmtId="0" fontId="1" fillId="0" borderId="1" xfId="0" applyFont="1" applyBorder="1">
      <alignment vertical="center"/>
    </xf>
    <xf numFmtId="0" fontId="2" fillId="0" borderId="0" xfId="0" applyFont="1">
      <alignment vertical="center"/>
    </xf>
    <xf numFmtId="0" fontId="3" fillId="0" borderId="0" xfId="0" applyFont="1" applyAlignment="1">
      <alignment horizontal="center" vertical="center"/>
    </xf>
    <xf numFmtId="0" fontId="3" fillId="0" borderId="0" xfId="0" applyFont="1">
      <alignment vertical="center"/>
    </xf>
    <xf numFmtId="0" fontId="3" fillId="0" borderId="0" xfId="0" applyFont="1" applyAlignment="1">
      <alignment horizontal="right" vertical="center"/>
    </xf>
    <xf numFmtId="0" fontId="3" fillId="2" borderId="0" xfId="0" applyFont="1" applyFill="1" applyAlignment="1">
      <alignment horizontal="center" vertical="center"/>
    </xf>
    <xf numFmtId="0" fontId="4" fillId="3" borderId="0" xfId="0" applyFont="1" applyFill="1" applyAlignment="1">
      <alignment vertical="center"/>
    </xf>
    <xf numFmtId="0" fontId="4" fillId="3" borderId="0" xfId="0" applyFont="1" applyFill="1" applyAlignment="1">
      <alignment horizontal="center" vertical="center"/>
    </xf>
    <xf numFmtId="0" fontId="4" fillId="3" borderId="0" xfId="0" applyFont="1" applyFill="1" applyAlignment="1">
      <alignment horizontal="left" vertical="center"/>
    </xf>
    <xf numFmtId="0" fontId="4" fillId="0" borderId="0" xfId="0" applyFont="1" applyFill="1" applyAlignment="1">
      <alignment vertical="center"/>
    </xf>
    <xf numFmtId="0" fontId="4" fillId="4" borderId="0" xfId="0" applyFont="1" applyFill="1" applyAlignment="1">
      <alignment horizontal="center" vertical="center"/>
    </xf>
    <xf numFmtId="180" fontId="4" fillId="0" borderId="0" xfId="0" applyNumberFormat="1" applyFont="1" applyFill="1" applyAlignment="1">
      <alignment horizontal="right" vertical="center" wrapText="1"/>
    </xf>
    <xf numFmtId="0" fontId="3" fillId="5" borderId="0" xfId="0" applyFont="1" applyFill="1" applyAlignment="1">
      <alignment horizontal="center" vertical="center"/>
    </xf>
    <xf numFmtId="0" fontId="4" fillId="5" borderId="0" xfId="0" applyFont="1" applyFill="1" applyAlignment="1">
      <alignment vertical="center"/>
    </xf>
    <xf numFmtId="0" fontId="3" fillId="0" borderId="0" xfId="0" applyFont="1" applyFill="1" applyAlignment="1">
      <alignment horizontal="center" vertical="center"/>
    </xf>
    <xf numFmtId="0" fontId="3" fillId="6" borderId="2" xfId="0" applyFont="1" applyFill="1" applyBorder="1" applyAlignment="1">
      <alignment horizontal="center" vertical="center"/>
    </xf>
    <xf numFmtId="0" fontId="4" fillId="6" borderId="3" xfId="0" applyFont="1" applyFill="1" applyBorder="1" applyAlignment="1">
      <alignment vertical="center"/>
    </xf>
    <xf numFmtId="0" fontId="4" fillId="4" borderId="3" xfId="0" applyFont="1" applyFill="1" applyBorder="1" applyAlignment="1">
      <alignment horizontal="center" vertical="center"/>
    </xf>
    <xf numFmtId="180" fontId="4" fillId="6" borderId="3" xfId="0" applyNumberFormat="1" applyFont="1" applyFill="1" applyBorder="1" applyAlignment="1">
      <alignment horizontal="right" vertical="center" wrapText="1"/>
    </xf>
    <xf numFmtId="180" fontId="4" fillId="6" borderId="4" xfId="0" applyNumberFormat="1" applyFont="1" applyFill="1" applyBorder="1" applyAlignment="1">
      <alignment horizontal="right" vertical="center" wrapText="1"/>
    </xf>
    <xf numFmtId="0" fontId="3" fillId="6" borderId="5" xfId="0" applyFont="1" applyFill="1" applyBorder="1" applyAlignment="1">
      <alignment horizontal="center" vertical="center"/>
    </xf>
    <xf numFmtId="0" fontId="4" fillId="6" borderId="0" xfId="0" applyFont="1" applyFill="1" applyAlignment="1">
      <alignment vertical="center"/>
    </xf>
    <xf numFmtId="180" fontId="4" fillId="6" borderId="0" xfId="0" applyNumberFormat="1" applyFont="1" applyFill="1" applyAlignment="1">
      <alignment horizontal="right" vertical="center" wrapText="1"/>
    </xf>
    <xf numFmtId="180" fontId="4" fillId="6" borderId="6" xfId="0" applyNumberFormat="1" applyFont="1" applyFill="1" applyBorder="1" applyAlignment="1">
      <alignment horizontal="right" vertical="center" wrapText="1"/>
    </xf>
    <xf numFmtId="0" fontId="4" fillId="7" borderId="0" xfId="0" applyFont="1" applyFill="1" applyAlignment="1">
      <alignment horizontal="center" vertical="center"/>
    </xf>
    <xf numFmtId="0" fontId="3" fillId="6" borderId="7" xfId="0" applyFont="1" applyFill="1" applyBorder="1" applyAlignment="1">
      <alignment horizontal="center" vertical="center"/>
    </xf>
    <xf numFmtId="0" fontId="4" fillId="6" borderId="8" xfId="0" applyFont="1" applyFill="1" applyBorder="1" applyAlignment="1">
      <alignment vertical="center"/>
    </xf>
    <xf numFmtId="0" fontId="4" fillId="7" borderId="8" xfId="0" applyFont="1" applyFill="1" applyBorder="1" applyAlignment="1">
      <alignment horizontal="center" vertical="center"/>
    </xf>
    <xf numFmtId="180" fontId="4" fillId="6" borderId="8" xfId="0" applyNumberFormat="1" applyFont="1" applyFill="1" applyBorder="1" applyAlignment="1">
      <alignment horizontal="right" vertical="center" wrapText="1"/>
    </xf>
    <xf numFmtId="180" fontId="4" fillId="6" borderId="9" xfId="0" applyNumberFormat="1" applyFont="1" applyFill="1" applyBorder="1" applyAlignment="1">
      <alignment horizontal="right" vertical="center" wrapText="1"/>
    </xf>
    <xf numFmtId="0" fontId="4" fillId="8" borderId="0" xfId="0" applyFont="1" applyFill="1" applyAlignment="1">
      <alignment horizontal="center" vertical="center"/>
    </xf>
    <xf numFmtId="0" fontId="3" fillId="0" borderId="0" xfId="0" applyFont="1" applyBorder="1" applyAlignment="1">
      <alignment horizontal="center" vertical="center"/>
    </xf>
    <xf numFmtId="0" fontId="4" fillId="9" borderId="0" xfId="0" applyFont="1" applyFill="1" applyAlignment="1">
      <alignment horizontal="center" vertical="center"/>
    </xf>
    <xf numFmtId="0" fontId="3" fillId="5" borderId="0" xfId="0" applyFont="1" applyFill="1" applyBorder="1" applyAlignment="1">
      <alignment horizontal="center" vertical="center"/>
    </xf>
    <xf numFmtId="0" fontId="3" fillId="5" borderId="0" xfId="0" applyFont="1" applyFill="1">
      <alignment vertical="center"/>
    </xf>
    <xf numFmtId="0" fontId="5" fillId="3" borderId="0" xfId="0" applyFont="1" applyFill="1" applyAlignment="1">
      <alignment vertical="center"/>
    </xf>
    <xf numFmtId="180" fontId="4" fillId="10" borderId="0" xfId="0" applyNumberFormat="1" applyFont="1" applyFill="1" applyAlignment="1">
      <alignment vertical="center"/>
    </xf>
    <xf numFmtId="180" fontId="4" fillId="11" borderId="0" xfId="0" applyNumberFormat="1" applyFont="1" applyFill="1" applyAlignment="1">
      <alignment vertical="center"/>
    </xf>
    <xf numFmtId="180" fontId="4" fillId="0" borderId="0" xfId="0" applyNumberFormat="1" applyFont="1" applyFill="1" applyAlignment="1">
      <alignment vertical="center"/>
    </xf>
    <xf numFmtId="180" fontId="4" fillId="12" borderId="0" xfId="0" applyNumberFormat="1" applyFont="1" applyFill="1" applyAlignment="1">
      <alignment vertical="center"/>
    </xf>
    <xf numFmtId="180" fontId="4" fillId="13" borderId="0" xfId="0" applyNumberFormat="1" applyFont="1" applyFill="1" applyAlignment="1">
      <alignment vertical="center"/>
    </xf>
    <xf numFmtId="0" fontId="3" fillId="0" borderId="0" xfId="0" applyFont="1" applyAlignment="1">
      <alignment horizontal="left" vertical="center"/>
    </xf>
    <xf numFmtId="0" fontId="6" fillId="0" borderId="0" xfId="0" applyFont="1">
      <alignment vertical="center"/>
    </xf>
    <xf numFmtId="0" fontId="7" fillId="0" borderId="0" xfId="0" applyFont="1" applyAlignment="1">
      <alignment horizontal="left" vertical="center"/>
    </xf>
    <xf numFmtId="179" fontId="4" fillId="0" borderId="0" xfId="0" applyNumberFormat="1" applyFont="1" applyFill="1" applyAlignment="1">
      <alignment vertical="center"/>
    </xf>
    <xf numFmtId="180" fontId="4" fillId="0" borderId="0" xfId="0" applyNumberFormat="1" applyFont="1" applyFill="1" applyAlignment="1">
      <alignment vertical="center" wrapText="1"/>
    </xf>
    <xf numFmtId="0" fontId="2" fillId="0" borderId="0" xfId="0" applyFont="1" applyAlignment="1">
      <alignment horizontal="right" vertical="center"/>
    </xf>
    <xf numFmtId="179" fontId="4" fillId="0" borderId="10" xfId="0" applyNumberFormat="1" applyFont="1" applyFill="1" applyBorder="1" applyAlignment="1">
      <alignment horizontal="right" vertical="center"/>
    </xf>
    <xf numFmtId="180" fontId="4" fillId="0" borderId="10" xfId="0" applyNumberFormat="1" applyFont="1" applyFill="1" applyBorder="1" applyAlignment="1">
      <alignment vertical="center"/>
    </xf>
    <xf numFmtId="179" fontId="4" fillId="0" borderId="0" xfId="0" applyNumberFormat="1" applyFont="1" applyFill="1" applyAlignment="1">
      <alignment horizontal="right" vertical="center"/>
    </xf>
    <xf numFmtId="0" fontId="2" fillId="0" borderId="0" xfId="0" applyFont="1" applyFill="1">
      <alignment vertical="center"/>
    </xf>
    <xf numFmtId="176" fontId="2" fillId="0" borderId="0" xfId="0" applyNumberFormat="1" applyFont="1">
      <alignment vertical="center"/>
    </xf>
    <xf numFmtId="0" fontId="2" fillId="0" borderId="0" xfId="0" applyFont="1" applyAlignment="1">
      <alignment horizontal="center" vertical="center"/>
    </xf>
    <xf numFmtId="0" fontId="8" fillId="0" borderId="0" xfId="0" applyFont="1">
      <alignment vertical="center"/>
    </xf>
    <xf numFmtId="176" fontId="3" fillId="0" borderId="0" xfId="0" applyNumberFormat="1" applyFont="1" applyAlignment="1">
      <alignment horizontal="centerContinuous" vertical="center"/>
    </xf>
    <xf numFmtId="0" fontId="3" fillId="0" borderId="0" xfId="0" applyFont="1" applyAlignment="1">
      <alignment horizontal="centerContinuous" vertical="center"/>
    </xf>
    <xf numFmtId="0" fontId="2" fillId="0" borderId="11" xfId="0" applyFont="1" applyBorder="1" applyAlignment="1">
      <alignment horizontal="center" vertical="center"/>
    </xf>
    <xf numFmtId="0" fontId="9" fillId="5" borderId="12" xfId="0" applyFont="1" applyFill="1" applyBorder="1" applyAlignment="1">
      <alignment horizontal="center" vertical="center"/>
    </xf>
    <xf numFmtId="0" fontId="2" fillId="0" borderId="0" xfId="0" applyFont="1" applyAlignment="1">
      <alignment horizontal="left" vertical="center"/>
    </xf>
    <xf numFmtId="0" fontId="2" fillId="0" borderId="0" xfId="0" applyFont="1" applyBorder="1" applyAlignment="1">
      <alignment horizontal="center" vertical="center"/>
    </xf>
    <xf numFmtId="0" fontId="2" fillId="0" borderId="0" xfId="0" applyFont="1" applyBorder="1">
      <alignment vertical="center"/>
    </xf>
    <xf numFmtId="176" fontId="2" fillId="14" borderId="1" xfId="0" applyNumberFormat="1" applyFont="1" applyFill="1" applyBorder="1" applyAlignment="1">
      <alignment horizontal="center" vertical="center"/>
    </xf>
    <xf numFmtId="0" fontId="2" fillId="14" borderId="1" xfId="0" applyFont="1" applyFill="1" applyBorder="1" applyAlignment="1">
      <alignment horizontal="center" vertical="center"/>
    </xf>
    <xf numFmtId="176" fontId="2" fillId="0" borderId="1" xfId="0" applyNumberFormat="1"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right" vertical="center" wrapText="1"/>
    </xf>
    <xf numFmtId="0" fontId="2" fillId="0" borderId="1" xfId="0" applyFont="1" applyFill="1" applyBorder="1" applyAlignment="1">
      <alignment vertical="center" wrapText="1"/>
    </xf>
    <xf numFmtId="0" fontId="2" fillId="0" borderId="1" xfId="0" applyFont="1" applyBorder="1" applyAlignment="1">
      <alignment vertical="center" wrapText="1"/>
    </xf>
    <xf numFmtId="0" fontId="10" fillId="0" borderId="0" xfId="0" applyFont="1" applyFill="1" applyAlignment="1">
      <alignment vertical="center"/>
    </xf>
    <xf numFmtId="0" fontId="11" fillId="0" borderId="0" xfId="0" applyFont="1" applyFill="1" applyAlignment="1">
      <alignment vertical="center"/>
    </xf>
    <xf numFmtId="0" fontId="10" fillId="0" borderId="0" xfId="0" applyFont="1" applyFill="1" applyAlignment="1">
      <alignment horizontal="center" vertical="center"/>
    </xf>
    <xf numFmtId="0" fontId="12" fillId="0" borderId="0" xfId="0" applyFont="1" applyFill="1" applyAlignment="1">
      <alignment vertical="center"/>
    </xf>
    <xf numFmtId="0" fontId="10" fillId="0" borderId="0" xfId="0" applyFont="1" applyFill="1" applyBorder="1" applyAlignment="1">
      <alignment horizontal="center" vertical="center"/>
    </xf>
    <xf numFmtId="0" fontId="13" fillId="0" borderId="11" xfId="0" applyFont="1" applyFill="1" applyBorder="1" applyAlignment="1">
      <alignment horizontal="centerContinuous" vertical="center"/>
    </xf>
    <xf numFmtId="0" fontId="13" fillId="0" borderId="13" xfId="0" applyFont="1" applyFill="1" applyBorder="1" applyAlignment="1">
      <alignment horizontal="centerContinuous" vertical="center"/>
    </xf>
    <xf numFmtId="0" fontId="13" fillId="0" borderId="11" xfId="0" applyFont="1" applyFill="1" applyBorder="1" applyAlignment="1">
      <alignment vertical="center"/>
    </xf>
    <xf numFmtId="0" fontId="14" fillId="0" borderId="14" xfId="0" applyFont="1" applyFill="1" applyBorder="1" applyAlignment="1">
      <alignment horizontal="center" vertical="center"/>
    </xf>
    <xf numFmtId="0" fontId="15" fillId="0" borderId="6" xfId="0" applyFont="1" applyFill="1" applyBorder="1" applyAlignment="1">
      <alignment horizontal="right" vertical="center"/>
    </xf>
    <xf numFmtId="0" fontId="11" fillId="0" borderId="15" xfId="0" applyFont="1" applyFill="1" applyBorder="1" applyAlignment="1">
      <alignment horizontal="center" vertical="center"/>
    </xf>
    <xf numFmtId="0" fontId="11" fillId="0" borderId="1" xfId="0" applyFont="1" applyFill="1" applyBorder="1" applyAlignment="1">
      <alignment vertical="center"/>
    </xf>
    <xf numFmtId="0" fontId="16" fillId="0" borderId="6" xfId="0" applyFont="1" applyBorder="1" applyAlignment="1">
      <alignment horizontal="right" vertical="center"/>
    </xf>
    <xf numFmtId="0" fontId="11" fillId="0" borderId="1" xfId="0" applyFont="1" applyFill="1" applyBorder="1" applyAlignment="1">
      <alignment horizontal="right" vertical="center" wrapText="1"/>
    </xf>
    <xf numFmtId="0" fontId="11" fillId="0" borderId="11" xfId="0" applyFont="1" applyFill="1" applyBorder="1" applyAlignment="1">
      <alignment horizontal="right" vertical="center"/>
    </xf>
    <xf numFmtId="0" fontId="10" fillId="0" borderId="14" xfId="0" applyFont="1" applyFill="1" applyBorder="1" applyAlignment="1">
      <alignment horizontal="right" vertical="center"/>
    </xf>
    <xf numFmtId="0" fontId="10" fillId="5" borderId="14" xfId="0" applyFont="1" applyFill="1" applyBorder="1" applyAlignment="1">
      <alignment horizontal="right" vertical="center"/>
    </xf>
    <xf numFmtId="0" fontId="11" fillId="5" borderId="15" xfId="0" applyFont="1" applyFill="1" applyBorder="1" applyAlignment="1">
      <alignment horizontal="center" vertical="center"/>
    </xf>
    <xf numFmtId="0" fontId="10" fillId="5" borderId="0" xfId="0" applyFont="1" applyFill="1" applyAlignment="1">
      <alignment vertical="center"/>
    </xf>
    <xf numFmtId="0" fontId="11" fillId="5" borderId="1" xfId="0" applyFont="1" applyFill="1" applyBorder="1" applyAlignment="1">
      <alignment horizontal="center" vertical="center"/>
    </xf>
    <xf numFmtId="0" fontId="11" fillId="0" borderId="1" xfId="0" applyFont="1" applyFill="1" applyBorder="1" applyAlignment="1">
      <alignment horizontal="center" vertical="center"/>
    </xf>
    <xf numFmtId="0" fontId="11" fillId="0" borderId="16" xfId="0" applyFont="1" applyFill="1" applyBorder="1" applyAlignment="1">
      <alignment horizontal="right" vertical="center"/>
    </xf>
    <xf numFmtId="0" fontId="10" fillId="0" borderId="14" xfId="0" applyFont="1" applyFill="1" applyBorder="1" applyAlignment="1">
      <alignment horizontal="center" vertical="center"/>
    </xf>
    <xf numFmtId="0" fontId="11" fillId="0" borderId="15" xfId="0" applyFont="1" applyFill="1" applyBorder="1" applyAlignment="1">
      <alignment horizontal="center" vertical="center" wrapText="1"/>
    </xf>
    <xf numFmtId="0" fontId="11" fillId="0" borderId="11" xfId="0" applyFont="1" applyFill="1" applyBorder="1" applyAlignment="1">
      <alignment horizontal="center" vertical="center"/>
    </xf>
    <xf numFmtId="0" fontId="11" fillId="15" borderId="17" xfId="0" applyFont="1" applyFill="1" applyBorder="1" applyAlignment="1">
      <alignment horizontal="right" vertical="center"/>
    </xf>
    <xf numFmtId="0" fontId="11" fillId="15" borderId="18" xfId="0" applyFont="1" applyFill="1" applyBorder="1" applyAlignment="1">
      <alignment horizontal="right" vertical="center"/>
    </xf>
    <xf numFmtId="0" fontId="11" fillId="0" borderId="13" xfId="0" applyFont="1" applyFill="1" applyBorder="1" applyAlignment="1">
      <alignment horizontal="right" vertical="center"/>
    </xf>
    <xf numFmtId="0" fontId="11" fillId="0" borderId="13" xfId="0" applyFont="1" applyFill="1" applyBorder="1" applyAlignment="1">
      <alignment horizontal="center" vertical="center"/>
    </xf>
    <xf numFmtId="0" fontId="11" fillId="15" borderId="17" xfId="0" applyFont="1" applyFill="1" applyBorder="1" applyAlignment="1">
      <alignment horizontal="right" vertical="center" wrapText="1"/>
    </xf>
    <xf numFmtId="0" fontId="13" fillId="0" borderId="15" xfId="0" applyFont="1" applyFill="1" applyBorder="1" applyAlignment="1">
      <alignment horizontal="centerContinuous" vertical="center"/>
    </xf>
    <xf numFmtId="0" fontId="11" fillId="5" borderId="2" xfId="0" applyFont="1" applyFill="1" applyBorder="1" applyAlignment="1">
      <alignment vertical="center"/>
    </xf>
    <xf numFmtId="0" fontId="11" fillId="5" borderId="3" xfId="0" applyFont="1" applyFill="1" applyBorder="1" applyAlignment="1">
      <alignment vertical="center"/>
    </xf>
    <xf numFmtId="0" fontId="11" fillId="5" borderId="4" xfId="0" applyFont="1" applyFill="1" applyBorder="1" applyAlignment="1">
      <alignment vertical="center"/>
    </xf>
    <xf numFmtId="0" fontId="11" fillId="5" borderId="5" xfId="0" applyFont="1" applyFill="1" applyBorder="1" applyAlignment="1">
      <alignment vertical="center"/>
    </xf>
    <xf numFmtId="0" fontId="11" fillId="5" borderId="0" xfId="0" applyFont="1" applyFill="1" applyAlignment="1">
      <alignment vertical="center"/>
    </xf>
    <xf numFmtId="0" fontId="11" fillId="5" borderId="6" xfId="0" applyFont="1" applyFill="1" applyBorder="1" applyAlignment="1">
      <alignment vertical="center"/>
    </xf>
    <xf numFmtId="0" fontId="11" fillId="0" borderId="16" xfId="0" applyFont="1" applyFill="1" applyBorder="1" applyAlignment="1">
      <alignment horizontal="right" vertical="center" wrapText="1"/>
    </xf>
    <xf numFmtId="0" fontId="11" fillId="5" borderId="7" xfId="0" applyFont="1" applyFill="1" applyBorder="1" applyAlignment="1">
      <alignment vertical="center"/>
    </xf>
    <xf numFmtId="0" fontId="11" fillId="5" borderId="8" xfId="0" applyFont="1" applyFill="1" applyBorder="1" applyAlignment="1">
      <alignment vertical="center"/>
    </xf>
    <xf numFmtId="0" fontId="11" fillId="5" borderId="9" xfId="0" applyFont="1" applyFill="1" applyBorder="1" applyAlignment="1">
      <alignment vertical="center"/>
    </xf>
    <xf numFmtId="0" fontId="17" fillId="0" borderId="0" xfId="0" applyFont="1" applyFill="1" applyAlignment="1">
      <alignment vertical="center"/>
    </xf>
    <xf numFmtId="0" fontId="18" fillId="0" borderId="0" xfId="0" applyFont="1" applyFill="1" applyAlignment="1">
      <alignment vertical="center"/>
    </xf>
    <xf numFmtId="0" fontId="17" fillId="5" borderId="2" xfId="0" applyFont="1" applyFill="1" applyBorder="1" applyAlignment="1">
      <alignment vertical="center"/>
    </xf>
    <xf numFmtId="0" fontId="17" fillId="5" borderId="3" xfId="0" applyFont="1" applyFill="1" applyBorder="1" applyAlignment="1">
      <alignment vertical="center"/>
    </xf>
    <xf numFmtId="0" fontId="17" fillId="5" borderId="5" xfId="0" applyFont="1" applyFill="1" applyBorder="1" applyAlignment="1">
      <alignment vertical="center"/>
    </xf>
    <xf numFmtId="0" fontId="17" fillId="5" borderId="0" xfId="0" applyFont="1" applyFill="1" applyAlignment="1">
      <alignment vertical="center"/>
    </xf>
    <xf numFmtId="0" fontId="17" fillId="5" borderId="7" xfId="0" applyFont="1" applyFill="1" applyBorder="1" applyAlignment="1">
      <alignment vertical="center"/>
    </xf>
    <xf numFmtId="0" fontId="17" fillId="5" borderId="8" xfId="0" applyFont="1" applyFill="1" applyBorder="1" applyAlignment="1">
      <alignment vertical="center"/>
    </xf>
    <xf numFmtId="0" fontId="17" fillId="5" borderId="4" xfId="0" applyFont="1" applyFill="1" applyBorder="1" applyAlignment="1">
      <alignment vertical="center"/>
    </xf>
    <xf numFmtId="0" fontId="17" fillId="0" borderId="2" xfId="0" applyFont="1" applyFill="1" applyBorder="1" applyAlignment="1">
      <alignment vertical="center"/>
    </xf>
    <xf numFmtId="0" fontId="17" fillId="0" borderId="3" xfId="0" applyFont="1" applyFill="1" applyBorder="1" applyAlignment="1">
      <alignment vertical="center"/>
    </xf>
    <xf numFmtId="0" fontId="17" fillId="5" borderId="6" xfId="0" applyFont="1" applyFill="1" applyBorder="1" applyAlignment="1">
      <alignment vertical="center"/>
    </xf>
    <xf numFmtId="0" fontId="17" fillId="0" borderId="5" xfId="0" applyFont="1" applyFill="1" applyBorder="1" applyAlignment="1">
      <alignment vertical="center"/>
    </xf>
    <xf numFmtId="0" fontId="17" fillId="0" borderId="0" xfId="0" applyFont="1" applyFill="1" applyBorder="1" applyAlignment="1">
      <alignment vertical="center"/>
    </xf>
    <xf numFmtId="0" fontId="17" fillId="5" borderId="9" xfId="0" applyFont="1" applyFill="1" applyBorder="1" applyAlignment="1">
      <alignment vertical="center"/>
    </xf>
    <xf numFmtId="0" fontId="17" fillId="16" borderId="11" xfId="0" applyFont="1" applyFill="1" applyBorder="1" applyAlignment="1">
      <alignment vertical="center"/>
    </xf>
    <xf numFmtId="0" fontId="17" fillId="16" borderId="13" xfId="0" applyFont="1" applyFill="1" applyBorder="1" applyAlignment="1">
      <alignment vertical="center"/>
    </xf>
    <xf numFmtId="0" fontId="17" fillId="16" borderId="15" xfId="0" applyFont="1" applyFill="1" applyBorder="1" applyAlignment="1">
      <alignment vertical="center"/>
    </xf>
    <xf numFmtId="0" fontId="17" fillId="0" borderId="7" xfId="0" applyFont="1" applyFill="1" applyBorder="1" applyAlignment="1">
      <alignment vertical="center"/>
    </xf>
    <xf numFmtId="0" fontId="17" fillId="0" borderId="8" xfId="0" applyFont="1" applyFill="1" applyBorder="1" applyAlignment="1">
      <alignment vertical="center"/>
    </xf>
    <xf numFmtId="0" fontId="17" fillId="0" borderId="4" xfId="0" applyFont="1" applyFill="1" applyBorder="1" applyAlignment="1">
      <alignment vertical="center"/>
    </xf>
    <xf numFmtId="0" fontId="17" fillId="0" borderId="6" xfId="0" applyFont="1" applyFill="1" applyBorder="1" applyAlignment="1">
      <alignment vertical="center"/>
    </xf>
    <xf numFmtId="0" fontId="17" fillId="0" borderId="9" xfId="0" applyFont="1" applyFill="1" applyBorder="1" applyAlignment="1">
      <alignment vertical="center"/>
    </xf>
    <xf numFmtId="0" fontId="17" fillId="0" borderId="1" xfId="0" applyFont="1" applyFill="1" applyBorder="1" applyAlignment="1">
      <alignment horizontal="center" vertical="center"/>
    </xf>
    <xf numFmtId="0" fontId="18" fillId="0" borderId="1" xfId="0" applyFont="1" applyFill="1" applyBorder="1" applyAlignment="1">
      <alignment horizontal="right" vertical="center" wrapText="1"/>
    </xf>
    <xf numFmtId="0" fontId="17" fillId="5" borderId="0" xfId="0" applyFont="1" applyFill="1" applyBorder="1" applyAlignment="1">
      <alignment vertical="center"/>
    </xf>
    <xf numFmtId="0" fontId="18" fillId="5" borderId="1" xfId="0" applyFont="1" applyFill="1" applyBorder="1" applyAlignment="1">
      <alignment horizontal="right" vertical="center"/>
    </xf>
    <xf numFmtId="0" fontId="18" fillId="0" borderId="1" xfId="0" applyFont="1" applyFill="1" applyBorder="1" applyAlignment="1">
      <alignment horizontal="right" vertical="center"/>
    </xf>
    <xf numFmtId="0" fontId="19" fillId="17" borderId="1" xfId="0" applyFont="1" applyFill="1" applyBorder="1" applyAlignment="1">
      <alignment horizontal="center" vertical="center"/>
    </xf>
    <xf numFmtId="0" fontId="17" fillId="17" borderId="1" xfId="0" applyFont="1" applyFill="1" applyBorder="1" applyAlignment="1">
      <alignment horizontal="center" vertical="center"/>
    </xf>
    <xf numFmtId="0" fontId="17" fillId="5" borderId="2" xfId="0" applyFont="1" applyFill="1" applyBorder="1" applyAlignment="1">
      <alignment horizontal="center" vertical="center"/>
    </xf>
    <xf numFmtId="0" fontId="17" fillId="5" borderId="3" xfId="0" applyFont="1" applyFill="1" applyBorder="1" applyAlignment="1">
      <alignment horizontal="center" vertical="center"/>
    </xf>
    <xf numFmtId="0" fontId="17" fillId="5" borderId="4" xfId="0" applyFont="1" applyFill="1" applyBorder="1" applyAlignment="1">
      <alignment horizontal="center" vertical="center"/>
    </xf>
    <xf numFmtId="0" fontId="17" fillId="5" borderId="5" xfId="0" applyFont="1" applyFill="1" applyBorder="1" applyAlignment="1">
      <alignment horizontal="center" vertical="center"/>
    </xf>
    <xf numFmtId="0" fontId="17" fillId="5" borderId="0" xfId="0" applyFont="1" applyFill="1" applyAlignment="1">
      <alignment horizontal="center" vertical="center"/>
    </xf>
    <xf numFmtId="0" fontId="17" fillId="5" borderId="6" xfId="0" applyFont="1" applyFill="1" applyBorder="1" applyAlignment="1">
      <alignment horizontal="center" vertical="center"/>
    </xf>
    <xf numFmtId="0" fontId="11" fillId="5" borderId="0" xfId="0" applyFont="1" applyFill="1" applyAlignment="1">
      <alignment horizontal="center" vertical="center"/>
    </xf>
    <xf numFmtId="0" fontId="17" fillId="0" borderId="11" xfId="0" applyFont="1" applyFill="1" applyBorder="1" applyAlignment="1">
      <alignment vertical="center"/>
    </xf>
    <xf numFmtId="0" fontId="17" fillId="0" borderId="13" xfId="0" applyFont="1" applyFill="1" applyBorder="1" applyAlignment="1">
      <alignment vertical="center"/>
    </xf>
    <xf numFmtId="0" fontId="17" fillId="5" borderId="7" xfId="0" applyFont="1" applyFill="1" applyBorder="1" applyAlignment="1">
      <alignment horizontal="center" vertical="center"/>
    </xf>
    <xf numFmtId="0" fontId="17" fillId="5" borderId="8" xfId="0" applyFont="1" applyFill="1" applyBorder="1" applyAlignment="1">
      <alignment horizontal="center" vertical="center"/>
    </xf>
    <xf numFmtId="0" fontId="17" fillId="5" borderId="9" xfId="0" applyFont="1" applyFill="1" applyBorder="1" applyAlignment="1">
      <alignment horizontal="center" vertical="center"/>
    </xf>
    <xf numFmtId="0" fontId="17" fillId="0" borderId="11" xfId="0" applyFont="1" applyFill="1" applyBorder="1" applyAlignment="1">
      <alignment horizontal="centerContinuous" vertical="center"/>
    </xf>
    <xf numFmtId="0" fontId="17" fillId="0" borderId="13" xfId="0" applyFont="1" applyFill="1" applyBorder="1" applyAlignment="1">
      <alignment horizontal="centerContinuous" vertical="center"/>
    </xf>
    <xf numFmtId="0" fontId="17" fillId="0" borderId="2" xfId="0" applyFont="1" applyFill="1" applyBorder="1" applyAlignment="1">
      <alignment horizontal="centerContinuous" vertical="center"/>
    </xf>
    <xf numFmtId="0" fontId="17" fillId="0" borderId="3" xfId="0" applyFont="1" applyFill="1" applyBorder="1" applyAlignment="1">
      <alignment horizontal="centerContinuous" vertical="center"/>
    </xf>
    <xf numFmtId="0" fontId="17" fillId="0" borderId="7" xfId="0" applyFont="1" applyFill="1" applyBorder="1" applyAlignment="1">
      <alignment horizontal="centerContinuous" vertical="center"/>
    </xf>
    <xf numFmtId="0" fontId="17" fillId="0" borderId="8" xfId="0" applyFont="1" applyFill="1" applyBorder="1" applyAlignment="1">
      <alignment horizontal="centerContinuous" vertical="center"/>
    </xf>
    <xf numFmtId="0" fontId="17" fillId="16" borderId="2" xfId="0" applyFont="1" applyFill="1" applyBorder="1" applyAlignment="1">
      <alignment horizontal="centerContinuous" vertical="center"/>
    </xf>
    <xf numFmtId="0" fontId="17" fillId="16" borderId="4" xfId="0" applyFont="1" applyFill="1" applyBorder="1" applyAlignment="1">
      <alignment horizontal="centerContinuous" vertical="center"/>
    </xf>
    <xf numFmtId="0" fontId="17" fillId="16" borderId="7" xfId="0" applyFont="1" applyFill="1" applyBorder="1" applyAlignment="1">
      <alignment horizontal="centerContinuous" vertical="center"/>
    </xf>
    <xf numFmtId="0" fontId="17" fillId="16" borderId="9" xfId="0" applyFont="1" applyFill="1" applyBorder="1" applyAlignment="1">
      <alignment horizontal="centerContinuous" vertical="center"/>
    </xf>
    <xf numFmtId="0" fontId="11" fillId="5" borderId="0" xfId="0" applyFont="1" applyFill="1" applyBorder="1" applyAlignment="1">
      <alignment horizontal="center" vertical="center"/>
    </xf>
    <xf numFmtId="0" fontId="17" fillId="0" borderId="15" xfId="0" applyFont="1" applyFill="1" applyBorder="1" applyAlignment="1">
      <alignment vertical="center"/>
    </xf>
    <xf numFmtId="0" fontId="17" fillId="0" borderId="16" xfId="0" applyFont="1" applyFill="1" applyBorder="1" applyAlignment="1">
      <alignment horizontal="center" vertical="center"/>
    </xf>
    <xf numFmtId="0" fontId="17" fillId="0" borderId="15" xfId="0" applyFont="1" applyFill="1" applyBorder="1" applyAlignment="1">
      <alignment horizontal="centerContinuous" vertical="center"/>
    </xf>
    <xf numFmtId="0" fontId="17" fillId="0" borderId="19" xfId="0" applyFont="1" applyFill="1" applyBorder="1" applyAlignment="1">
      <alignment horizontal="center" vertical="center"/>
    </xf>
    <xf numFmtId="0" fontId="17" fillId="5" borderId="1" xfId="0" applyFont="1" applyFill="1" applyBorder="1" applyAlignment="1">
      <alignment vertical="center"/>
    </xf>
    <xf numFmtId="0" fontId="20" fillId="0" borderId="11" xfId="0" applyFont="1" applyFill="1" applyBorder="1" applyAlignment="1">
      <alignment horizontal="centerContinuous" vertical="center"/>
    </xf>
    <xf numFmtId="0" fontId="17" fillId="16" borderId="11" xfId="0" applyFont="1" applyFill="1" applyBorder="1" applyAlignment="1">
      <alignment horizontal="centerContinuous" vertical="center"/>
    </xf>
    <xf numFmtId="0" fontId="17" fillId="16" borderId="13" xfId="0" applyFont="1" applyFill="1" applyBorder="1" applyAlignment="1">
      <alignment horizontal="centerContinuous" vertical="center"/>
    </xf>
    <xf numFmtId="0" fontId="17" fillId="16" borderId="15" xfId="0" applyFont="1" applyFill="1" applyBorder="1" applyAlignment="1">
      <alignment horizontal="centerContinuous" vertical="center"/>
    </xf>
    <xf numFmtId="0" fontId="17" fillId="16" borderId="1" xfId="0" applyFont="1" applyFill="1" applyBorder="1" applyAlignment="1">
      <alignment horizontal="center" vertical="center"/>
    </xf>
    <xf numFmtId="0" fontId="17" fillId="16" borderId="1" xfId="0" applyFont="1" applyFill="1" applyBorder="1" applyAlignment="1">
      <alignment vertical="center"/>
    </xf>
    <xf numFmtId="0" fontId="21" fillId="0" borderId="0" xfId="0" applyFont="1" applyFill="1" applyAlignment="1">
      <alignment vertical="center"/>
    </xf>
    <xf numFmtId="0" fontId="21" fillId="0" borderId="0" xfId="0" applyFont="1" applyFill="1" applyAlignment="1">
      <alignment horizontal="center" vertical="center"/>
    </xf>
    <xf numFmtId="0" fontId="18" fillId="0" borderId="0" xfId="0" applyFont="1" applyFill="1" applyAlignment="1">
      <alignment horizontal="right" vertical="center"/>
    </xf>
    <xf numFmtId="0" fontId="21" fillId="5" borderId="0" xfId="0" applyFont="1" applyFill="1" applyAlignment="1">
      <alignment vertical="center"/>
    </xf>
    <xf numFmtId="0" fontId="22" fillId="0" borderId="11" xfId="0" applyFont="1" applyFill="1" applyBorder="1" applyAlignment="1">
      <alignment horizontal="centerContinuous" vertical="center"/>
    </xf>
    <xf numFmtId="0" fontId="11" fillId="0" borderId="15" xfId="0" applyFont="1" applyFill="1" applyBorder="1" applyAlignment="1">
      <alignment horizontal="centerContinuous" vertical="center"/>
    </xf>
    <xf numFmtId="0" fontId="17" fillId="5" borderId="13" xfId="0" applyFont="1" applyFill="1" applyBorder="1" applyAlignment="1">
      <alignment vertical="center"/>
    </xf>
    <xf numFmtId="0" fontId="23" fillId="0" borderId="11" xfId="0" applyFont="1" applyFill="1" applyBorder="1" applyAlignment="1">
      <alignment horizontal="centerContinuous" vertical="center" wrapText="1"/>
    </xf>
    <xf numFmtId="0" fontId="24" fillId="0" borderId="11" xfId="0" applyFont="1" applyFill="1" applyBorder="1" applyAlignment="1">
      <alignment horizontal="centerContinuous" vertical="center"/>
    </xf>
    <xf numFmtId="0" fontId="17" fillId="5" borderId="15" xfId="0" applyFont="1" applyFill="1" applyBorder="1" applyAlignment="1">
      <alignment vertical="center"/>
    </xf>
    <xf numFmtId="0" fontId="17" fillId="5" borderId="0" xfId="0" applyFont="1" applyFill="1" applyAlignment="1">
      <alignment horizontal="centerContinuous" vertical="center"/>
    </xf>
    <xf numFmtId="0" fontId="21" fillId="5" borderId="0" xfId="0" applyFont="1" applyFill="1" applyAlignment="1">
      <alignment horizontal="centerContinuous" vertical="center"/>
    </xf>
    <xf numFmtId="0" fontId="17" fillId="0" borderId="0" xfId="0" applyFont="1" applyFill="1" applyAlignment="1">
      <alignment horizontal="centerContinuous" vertical="center"/>
    </xf>
    <xf numFmtId="0" fontId="17" fillId="0" borderId="1" xfId="0" applyFont="1" applyFill="1" applyBorder="1" applyAlignment="1">
      <alignment horizontal="centerContinuous" vertical="center"/>
    </xf>
    <xf numFmtId="0" fontId="21" fillId="0" borderId="1" xfId="0" applyFont="1" applyFill="1" applyBorder="1" applyAlignment="1">
      <alignment horizontal="centerContinuous" vertical="center"/>
    </xf>
    <xf numFmtId="0" fontId="17" fillId="0" borderId="1" xfId="0" applyFont="1" applyFill="1" applyBorder="1" applyAlignment="1">
      <alignment horizontal="centerContinuous" vertical="center" wrapText="1"/>
    </xf>
    <xf numFmtId="0" fontId="21" fillId="0" borderId="1" xfId="0" applyFont="1" applyFill="1" applyBorder="1" applyAlignment="1">
      <alignment horizontal="center" vertical="center"/>
    </xf>
    <xf numFmtId="0" fontId="17" fillId="0" borderId="16" xfId="0" applyFont="1" applyFill="1" applyBorder="1" applyAlignment="1">
      <alignment horizontal="left" vertical="center" wrapText="1"/>
    </xf>
    <xf numFmtId="0" fontId="17" fillId="0" borderId="16" xfId="0" applyFont="1" applyFill="1" applyBorder="1" applyAlignment="1">
      <alignment horizontal="centerContinuous" vertical="top" wrapText="1"/>
    </xf>
    <xf numFmtId="0" fontId="17" fillId="0" borderId="1" xfId="0" applyFont="1" applyFill="1" applyBorder="1" applyAlignment="1">
      <alignment horizontal="center" vertical="center" wrapText="1"/>
    </xf>
    <xf numFmtId="0" fontId="17" fillId="0" borderId="14" xfId="0" applyFont="1" applyFill="1" applyBorder="1" applyAlignment="1">
      <alignment horizontal="centerContinuous" vertical="center" wrapText="1"/>
    </xf>
    <xf numFmtId="0" fontId="17" fillId="0" borderId="14" xfId="0" applyFont="1" applyFill="1" applyBorder="1" applyAlignment="1">
      <alignment horizontal="centerContinuous" vertical="top" wrapText="1"/>
    </xf>
    <xf numFmtId="0" fontId="17" fillId="0" borderId="19" xfId="0" applyFont="1" applyFill="1" applyBorder="1" applyAlignment="1">
      <alignment horizontal="centerContinuous" vertical="top" wrapText="1"/>
    </xf>
    <xf numFmtId="0" fontId="17" fillId="0" borderId="11" xfId="0" applyFont="1" applyFill="1" applyBorder="1" applyAlignment="1">
      <alignment horizontal="centerContinuous" vertical="center" wrapText="1"/>
    </xf>
    <xf numFmtId="0" fontId="17" fillId="0" borderId="15" xfId="0" applyFont="1" applyFill="1" applyBorder="1" applyAlignment="1">
      <alignment horizontal="centerContinuous" vertical="center" wrapText="1"/>
    </xf>
    <xf numFmtId="0" fontId="17" fillId="0" borderId="16" xfId="0" applyFont="1" applyFill="1" applyBorder="1" applyAlignment="1">
      <alignment horizontal="centerContinuous" vertical="center" wrapText="1"/>
    </xf>
    <xf numFmtId="0" fontId="17" fillId="5" borderId="1" xfId="0" applyFont="1" applyFill="1" applyBorder="1" applyAlignment="1">
      <alignment horizontal="center" vertical="center"/>
    </xf>
    <xf numFmtId="0" fontId="17" fillId="0" borderId="19" xfId="0" applyFont="1" applyFill="1" applyBorder="1" applyAlignment="1">
      <alignment horizontal="centerContinuous" vertical="center" wrapText="1"/>
    </xf>
    <xf numFmtId="0" fontId="21" fillId="0" borderId="0" xfId="0" applyFont="1" applyFill="1" applyBorder="1" applyAlignment="1">
      <alignment horizontal="center" vertical="center"/>
    </xf>
    <xf numFmtId="0" fontId="21" fillId="0" borderId="0" xfId="0" applyFont="1" applyFill="1" applyBorder="1" applyAlignment="1">
      <alignment vertical="center"/>
    </xf>
    <xf numFmtId="0" fontId="21" fillId="5" borderId="13" xfId="0" applyFont="1" applyFill="1" applyBorder="1" applyAlignment="1">
      <alignment horizontal="center" vertical="center"/>
    </xf>
    <xf numFmtId="0" fontId="25" fillId="0" borderId="11" xfId="0" applyFont="1" applyFill="1" applyBorder="1" applyAlignment="1">
      <alignment horizontal="centerContinuous" vertical="center" wrapText="1"/>
    </xf>
    <xf numFmtId="0" fontId="21" fillId="0" borderId="1" xfId="0" applyFont="1" applyFill="1" applyBorder="1" applyAlignment="1">
      <alignment vertical="center"/>
    </xf>
    <xf numFmtId="0" fontId="17" fillId="0" borderId="1" xfId="0" applyFont="1" applyFill="1" applyBorder="1" applyAlignment="1">
      <alignment vertical="center"/>
    </xf>
    <xf numFmtId="0" fontId="25" fillId="0" borderId="0" xfId="0" applyFont="1" applyFill="1" applyBorder="1" applyAlignment="1">
      <alignment vertical="center"/>
    </xf>
    <xf numFmtId="0" fontId="22" fillId="0" borderId="1" xfId="0" applyFont="1" applyFill="1" applyBorder="1" applyAlignment="1">
      <alignment horizontal="center" vertical="center"/>
    </xf>
    <xf numFmtId="0" fontId="26" fillId="0" borderId="11" xfId="0" applyFont="1" applyFill="1" applyBorder="1" applyAlignment="1">
      <alignment vertical="center"/>
    </xf>
    <xf numFmtId="0" fontId="21" fillId="0" borderId="0" xfId="0" applyFont="1" applyFill="1" applyAlignment="1">
      <alignment horizontal="centerContinuous" vertical="center"/>
    </xf>
    <xf numFmtId="0" fontId="21" fillId="0" borderId="15" xfId="0" applyFont="1" applyFill="1" applyBorder="1" applyAlignment="1">
      <alignment horizontal="centerContinuous" vertical="center"/>
    </xf>
    <xf numFmtId="0" fontId="17" fillId="0" borderId="15" xfId="0" applyFont="1" applyFill="1" applyBorder="1" applyAlignment="1">
      <alignment horizontal="center" vertical="center"/>
    </xf>
    <xf numFmtId="0" fontId="17" fillId="0" borderId="14" xfId="0" applyFont="1" applyFill="1" applyBorder="1" applyAlignment="1">
      <alignment horizontal="left" vertical="center" wrapText="1"/>
    </xf>
    <xf numFmtId="0" fontId="17" fillId="5" borderId="15" xfId="0" applyFont="1" applyFill="1" applyBorder="1" applyAlignment="1">
      <alignment horizontal="center" vertical="center" wrapText="1"/>
    </xf>
    <xf numFmtId="0" fontId="17" fillId="5" borderId="15" xfId="0" applyFont="1" applyFill="1" applyBorder="1" applyAlignment="1">
      <alignment horizontal="center" vertical="center"/>
    </xf>
    <xf numFmtId="0" fontId="17" fillId="0" borderId="6" xfId="0" applyFont="1" applyFill="1" applyBorder="1" applyAlignment="1">
      <alignment horizontal="centerContinuous" vertical="center" wrapText="1"/>
    </xf>
    <xf numFmtId="0" fontId="17" fillId="0" borderId="15" xfId="0" applyFont="1" applyFill="1" applyBorder="1" applyAlignment="1">
      <alignment horizontal="center" vertical="center" wrapText="1"/>
    </xf>
    <xf numFmtId="0" fontId="17" fillId="0" borderId="4" xfId="0" applyFont="1" applyFill="1" applyBorder="1" applyAlignment="1">
      <alignment horizontal="center" vertical="center"/>
    </xf>
    <xf numFmtId="0" fontId="26" fillId="0" borderId="11" xfId="0" applyFont="1" applyFill="1" applyBorder="1" applyAlignment="1">
      <alignment horizontal="centerContinuous" vertical="center" wrapText="1"/>
    </xf>
    <xf numFmtId="0" fontId="17" fillId="0" borderId="13" xfId="0" applyFont="1" applyFill="1" applyBorder="1" applyAlignment="1">
      <alignment horizontal="centerContinuous" vertical="center" wrapText="1"/>
    </xf>
    <xf numFmtId="0" fontId="18" fillId="18" borderId="1" xfId="0" applyFont="1" applyFill="1" applyBorder="1" applyAlignment="1">
      <alignment horizontal="right" vertical="center"/>
    </xf>
    <xf numFmtId="0" fontId="17" fillId="0" borderId="0" xfId="0" applyFont="1" applyFill="1" applyBorder="1" applyAlignment="1">
      <alignment horizontal="centerContinuous" vertical="center" wrapText="1"/>
    </xf>
    <xf numFmtId="0" fontId="17" fillId="0" borderId="0" xfId="0" applyFont="1" applyFill="1" applyBorder="1" applyAlignment="1">
      <alignment horizontal="center" vertical="center"/>
    </xf>
    <xf numFmtId="0" fontId="1" fillId="0" borderId="0" xfId="0" applyFont="1" applyAlignment="1">
      <alignment horizontal="center" vertical="center"/>
    </xf>
    <xf numFmtId="0" fontId="1" fillId="0" borderId="0" xfId="0" applyNumberFormat="1" applyFont="1" applyAlignment="1">
      <alignment horizontal="center" vertical="center"/>
    </xf>
    <xf numFmtId="0" fontId="27" fillId="0" borderId="0" xfId="0" applyFont="1">
      <alignment vertical="center"/>
    </xf>
    <xf numFmtId="0" fontId="1" fillId="19" borderId="20" xfId="0" applyFont="1" applyFill="1" applyBorder="1" applyAlignment="1">
      <alignment horizontal="center" vertical="center" wrapText="1"/>
    </xf>
    <xf numFmtId="176" fontId="1" fillId="19" borderId="21" xfId="0" applyNumberFormat="1" applyFont="1" applyFill="1" applyBorder="1" applyAlignment="1">
      <alignment horizontal="center" vertical="center"/>
    </xf>
    <xf numFmtId="0" fontId="7" fillId="19" borderId="21" xfId="0" applyNumberFormat="1" applyFont="1" applyFill="1" applyBorder="1" applyAlignment="1">
      <alignment horizontal="center" vertical="center" wrapText="1"/>
    </xf>
    <xf numFmtId="0" fontId="1" fillId="19" borderId="21" xfId="0" applyFont="1" applyFill="1" applyBorder="1" applyAlignment="1">
      <alignment horizontal="center" vertical="center" wrapText="1"/>
    </xf>
    <xf numFmtId="0" fontId="1" fillId="19" borderId="21" xfId="0" applyFont="1" applyFill="1" applyBorder="1" applyAlignment="1">
      <alignment horizontal="center" vertical="center"/>
    </xf>
    <xf numFmtId="0" fontId="1" fillId="0" borderId="22" xfId="0" applyFont="1" applyBorder="1" applyAlignment="1">
      <alignment horizontal="center" vertical="center"/>
    </xf>
    <xf numFmtId="176" fontId="1" fillId="5" borderId="1" xfId="0" applyNumberFormat="1" applyFont="1" applyFill="1" applyBorder="1" applyAlignment="1">
      <alignment horizontal="center" vertical="center"/>
    </xf>
    <xf numFmtId="0" fontId="1" fillId="5" borderId="1" xfId="0" applyNumberFormat="1" applyFont="1" applyFill="1" applyBorder="1" applyAlignment="1">
      <alignment horizontal="center" vertical="center"/>
    </xf>
    <xf numFmtId="0" fontId="1" fillId="5" borderId="1" xfId="0" applyFont="1" applyFill="1" applyBorder="1">
      <alignment vertical="center"/>
    </xf>
    <xf numFmtId="0" fontId="1" fillId="5" borderId="1" xfId="0" applyFont="1" applyFill="1" applyBorder="1" applyAlignment="1">
      <alignment horizontal="center" vertical="center"/>
    </xf>
    <xf numFmtId="0" fontId="1" fillId="0" borderId="22" xfId="0" applyFont="1" applyFill="1" applyBorder="1" applyAlignment="1">
      <alignment horizontal="center" vertical="center"/>
    </xf>
    <xf numFmtId="0" fontId="27" fillId="0" borderId="0" xfId="0" applyFont="1" applyAlignment="1">
      <alignment horizontal="center" vertical="center"/>
    </xf>
    <xf numFmtId="0" fontId="1" fillId="19" borderId="23" xfId="0" applyFont="1" applyFill="1" applyBorder="1" applyAlignment="1">
      <alignment horizontal="center" vertical="center"/>
    </xf>
    <xf numFmtId="0" fontId="1" fillId="19" borderId="2" xfId="0" applyFont="1" applyFill="1" applyBorder="1" applyAlignment="1">
      <alignment horizontal="centerContinuous" vertical="center"/>
    </xf>
    <xf numFmtId="0" fontId="1" fillId="19" borderId="3" xfId="0" applyFont="1" applyFill="1" applyBorder="1" applyAlignment="1">
      <alignment horizontal="centerContinuous" vertical="center"/>
    </xf>
    <xf numFmtId="0" fontId="1" fillId="19" borderId="13" xfId="0" applyFont="1" applyFill="1" applyBorder="1" applyAlignment="1">
      <alignment horizontal="centerContinuous" vertical="center"/>
    </xf>
    <xf numFmtId="0" fontId="1" fillId="0" borderId="1" xfId="0" applyFont="1" applyBorder="1" applyAlignment="1">
      <alignment horizontal="center" vertical="center"/>
    </xf>
    <xf numFmtId="0" fontId="1" fillId="5" borderId="24" xfId="0" applyFont="1" applyFill="1" applyBorder="1" applyAlignment="1">
      <alignment horizontal="center" vertical="center"/>
    </xf>
    <xf numFmtId="0" fontId="1" fillId="0" borderId="5" xfId="0" applyFont="1" applyBorder="1" applyAlignment="1">
      <alignment horizontal="center" vertical="center"/>
    </xf>
    <xf numFmtId="0" fontId="1" fillId="0" borderId="0" xfId="0" applyFont="1" applyBorder="1" applyAlignment="1">
      <alignment horizontal="center" vertical="center"/>
    </xf>
    <xf numFmtId="0" fontId="1" fillId="0" borderId="5" xfId="0" applyFont="1" applyBorder="1">
      <alignment vertical="center"/>
    </xf>
    <xf numFmtId="0" fontId="1" fillId="0" borderId="0" xfId="0" applyFont="1" applyFill="1" applyBorder="1">
      <alignment vertical="center"/>
    </xf>
    <xf numFmtId="0" fontId="1" fillId="0" borderId="0" xfId="0" applyFont="1" applyFill="1" applyBorder="1" applyAlignment="1">
      <alignment horizontal="center" vertical="center"/>
    </xf>
    <xf numFmtId="176" fontId="1" fillId="0" borderId="0" xfId="0" applyNumberFormat="1" applyFont="1" applyFill="1" applyBorder="1" applyAlignment="1">
      <alignment horizontal="center" vertical="center"/>
    </xf>
    <xf numFmtId="0" fontId="1" fillId="0" borderId="0" xfId="0" applyNumberFormat="1" applyFont="1" applyFill="1" applyBorder="1" applyAlignment="1">
      <alignment horizontal="center" vertical="center"/>
    </xf>
    <xf numFmtId="0" fontId="1" fillId="19" borderId="15" xfId="0" applyFont="1" applyFill="1" applyBorder="1" applyAlignment="1">
      <alignment horizontal="centerContinuous" vertical="center"/>
    </xf>
    <xf numFmtId="0" fontId="1" fillId="0" borderId="6" xfId="0" applyFont="1" applyBorder="1">
      <alignment vertical="center"/>
    </xf>
    <xf numFmtId="0" fontId="1" fillId="0" borderId="0" xfId="0" applyFont="1" applyBorder="1">
      <alignment vertical="center"/>
    </xf>
    <xf numFmtId="0" fontId="1" fillId="0" borderId="25" xfId="0" applyFont="1" applyBorder="1" applyAlignment="1">
      <alignment horizontal="center" vertical="center"/>
    </xf>
    <xf numFmtId="176" fontId="1" fillId="5" borderId="26" xfId="0" applyNumberFormat="1" applyFont="1" applyFill="1" applyBorder="1" applyAlignment="1">
      <alignment horizontal="center" vertical="center"/>
    </xf>
    <xf numFmtId="0" fontId="1" fillId="5" borderId="26" xfId="0" applyNumberFormat="1" applyFont="1" applyFill="1" applyBorder="1" applyAlignment="1">
      <alignment horizontal="center" vertical="center"/>
    </xf>
    <xf numFmtId="0" fontId="1" fillId="5" borderId="26" xfId="0" applyFont="1" applyFill="1" applyBorder="1">
      <alignment vertical="center"/>
    </xf>
    <xf numFmtId="0" fontId="1" fillId="5" borderId="26" xfId="0" applyFont="1" applyFill="1" applyBorder="1" applyAlignment="1">
      <alignment horizontal="center" vertical="center"/>
    </xf>
    <xf numFmtId="0" fontId="1" fillId="0" borderId="26" xfId="0" applyFont="1" applyBorder="1">
      <alignment vertical="center"/>
    </xf>
    <xf numFmtId="0" fontId="1" fillId="0" borderId="26" xfId="0" applyFont="1" applyBorder="1" applyAlignment="1">
      <alignment horizontal="center" vertical="center"/>
    </xf>
    <xf numFmtId="0" fontId="1" fillId="5" borderId="27" xfId="0" applyFont="1" applyFill="1" applyBorder="1" applyAlignment="1">
      <alignment horizontal="center" vertical="center"/>
    </xf>
    <xf numFmtId="0" fontId="1" fillId="0" borderId="7" xfId="0" applyFont="1" applyBorder="1">
      <alignment vertical="center"/>
    </xf>
    <xf numFmtId="0" fontId="1" fillId="0" borderId="8" xfId="0" applyFont="1" applyBorder="1">
      <alignment vertical="center"/>
    </xf>
    <xf numFmtId="0" fontId="1" fillId="0" borderId="9" xfId="0" applyFont="1" applyBorder="1">
      <alignment vertical="center"/>
    </xf>
    <xf numFmtId="0" fontId="27" fillId="0" borderId="0" xfId="0" applyFont="1" applyAlignment="1">
      <alignment horizontal="centerContinuous" vertical="top" wrapText="1"/>
    </xf>
    <xf numFmtId="0" fontId="28" fillId="0" borderId="0" xfId="0" applyFont="1" applyAlignment="1">
      <alignment horizontal="centerContinuous" vertical="top"/>
    </xf>
    <xf numFmtId="0" fontId="2" fillId="17" borderId="1" xfId="0" applyFont="1" applyFill="1" applyBorder="1" applyAlignment="1">
      <alignment horizontal="center" vertical="center"/>
    </xf>
    <xf numFmtId="0" fontId="3" fillId="17" borderId="1" xfId="0" applyFont="1" applyFill="1" applyBorder="1" applyAlignment="1">
      <alignment horizontal="center" vertical="center"/>
    </xf>
    <xf numFmtId="0" fontId="1" fillId="17" borderId="1" xfId="0" applyFont="1" applyFill="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3" fillId="5" borderId="1" xfId="0" applyFont="1" applyFill="1" applyBorder="1" applyAlignment="1">
      <alignment horizontal="center" vertical="center"/>
    </xf>
    <xf numFmtId="0" fontId="2" fillId="17" borderId="0" xfId="0" applyFont="1" applyFill="1" applyAlignment="1">
      <alignment horizontal="center" vertical="center"/>
    </xf>
    <xf numFmtId="0" fontId="3" fillId="17" borderId="0" xfId="0" applyFont="1" applyFill="1" applyAlignment="1">
      <alignment horizontal="center" vertical="center"/>
    </xf>
    <xf numFmtId="0" fontId="1" fillId="17" borderId="0" xfId="0" applyFont="1" applyFill="1" applyAlignment="1">
      <alignment horizontal="center" vertical="center"/>
    </xf>
    <xf numFmtId="0" fontId="3" fillId="0" borderId="1" xfId="0" applyFont="1" applyFill="1" applyBorder="1" applyAlignment="1">
      <alignment horizontal="center"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2" fillId="20" borderId="0" xfId="10" applyFont="1" applyFill="1">
      <alignment vertical="center"/>
    </xf>
    <xf numFmtId="0" fontId="33" fillId="20" borderId="0" xfId="0" applyFont="1" applyFill="1">
      <alignment vertical="center"/>
    </xf>
    <xf numFmtId="0" fontId="34" fillId="0" borderId="0" xfId="0" applyFont="1" applyFill="1">
      <alignment vertical="center"/>
    </xf>
    <xf numFmtId="0" fontId="33" fillId="0" borderId="0" xfId="0" applyFont="1" applyFill="1">
      <alignment vertical="center"/>
    </xf>
    <xf numFmtId="0" fontId="30" fillId="0" borderId="0" xfId="0" applyFont="1" applyFill="1">
      <alignment vertical="center"/>
    </xf>
    <xf numFmtId="0" fontId="35" fillId="20" borderId="0" xfId="10" applyFont="1" applyFill="1">
      <alignment vertical="center"/>
    </xf>
    <xf numFmtId="0" fontId="36" fillId="20" borderId="0" xfId="0" applyFont="1" applyFill="1">
      <alignment vertical="center"/>
    </xf>
    <xf numFmtId="0" fontId="37" fillId="0" borderId="0" xfId="0" applyFont="1">
      <alignment vertical="center"/>
    </xf>
    <xf numFmtId="0" fontId="38" fillId="0" borderId="1" xfId="0" applyFont="1" applyBorder="1" applyAlignment="1">
      <alignment horizontal="centerContinuous" vertical="center"/>
    </xf>
    <xf numFmtId="0" fontId="37" fillId="0" borderId="1" xfId="0" applyFont="1" applyBorder="1" applyAlignment="1">
      <alignment horizontal="centerContinuous" vertical="center"/>
    </xf>
    <xf numFmtId="0" fontId="37" fillId="0" borderId="1" xfId="0" applyFont="1" applyBorder="1" applyAlignment="1">
      <alignment horizontal="center" vertical="center"/>
    </xf>
    <xf numFmtId="0" fontId="38" fillId="0" borderId="1" xfId="0" applyFont="1" applyBorder="1" applyAlignment="1">
      <alignment horizontal="center" vertical="center"/>
    </xf>
    <xf numFmtId="0" fontId="37" fillId="0" borderId="1" xfId="0" applyFont="1" applyBorder="1" applyAlignment="1">
      <alignment vertical="center" wrapText="1"/>
    </xf>
    <xf numFmtId="0" fontId="38" fillId="0" borderId="1" xfId="0" applyFont="1" applyBorder="1" applyAlignment="1">
      <alignment horizontal="center" vertical="center" wrapText="1"/>
    </xf>
    <xf numFmtId="0" fontId="37" fillId="0" borderId="1" xfId="0" applyFont="1" applyBorder="1">
      <alignment vertical="center"/>
    </xf>
    <xf numFmtId="0" fontId="2" fillId="17" borderId="0" xfId="0" applyFont="1" applyFill="1">
      <alignment vertical="center"/>
    </xf>
    <xf numFmtId="0" fontId="2" fillId="20" borderId="0" xfId="0" applyFont="1" applyFill="1">
      <alignment vertical="center"/>
    </xf>
    <xf numFmtId="0" fontId="39" fillId="0" borderId="0" xfId="0" applyFont="1" applyFill="1">
      <alignment vertical="center"/>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20% - アクセント 4" xfId="7" builtinId="42"/>
    <cellStyle name="メモ" xfId="8" builtinId="10"/>
    <cellStyle name="パーセント" xfId="9" builtinId="5"/>
    <cellStyle name="ハイパーリンク" xfId="10" builtinId="8"/>
    <cellStyle name="アクセント 2" xfId="11" builtinId="33"/>
    <cellStyle name="訪問済ハイパーリンク" xfId="12" builtinId="9"/>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defaultPivotStyle="PivotStyleLight16"/>
  <colors>
    <mruColors>
      <color rgb="00FECB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289560</xdr:colOff>
      <xdr:row>1</xdr:row>
      <xdr:rowOff>99060</xdr:rowOff>
    </xdr:from>
    <xdr:to>
      <xdr:col>8</xdr:col>
      <xdr:colOff>38735</xdr:colOff>
      <xdr:row>9</xdr:row>
      <xdr:rowOff>206375</xdr:rowOff>
    </xdr:to>
    <xdr:pic>
      <xdr:nvPicPr>
        <xdr:cNvPr id="3" name="図形 2" descr="3"/>
        <xdr:cNvPicPr>
          <a:picLocks noChangeAspect="1"/>
        </xdr:cNvPicPr>
      </xdr:nvPicPr>
      <xdr:blipFill>
        <a:blip r:embed="rId1"/>
        <a:stretch>
          <a:fillRect/>
        </a:stretch>
      </xdr:blipFill>
      <xdr:spPr>
        <a:xfrm>
          <a:off x="11269980" y="320040"/>
          <a:ext cx="2858135" cy="285813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7620</xdr:colOff>
      <xdr:row>26</xdr:row>
      <xdr:rowOff>0</xdr:rowOff>
    </xdr:from>
    <xdr:to>
      <xdr:col>13</xdr:col>
      <xdr:colOff>7620</xdr:colOff>
      <xdr:row>27</xdr:row>
      <xdr:rowOff>0</xdr:rowOff>
    </xdr:to>
    <xdr:cxnSp>
      <xdr:nvCxnSpPr>
        <xdr:cNvPr id="2" name="直線コネクタ 1"/>
        <xdr:cNvCxnSpPr/>
      </xdr:nvCxnSpPr>
      <xdr:spPr>
        <a:xfrm>
          <a:off x="4838700" y="5674360"/>
          <a:ext cx="4259580" cy="1676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7</xdr:col>
      <xdr:colOff>8255</xdr:colOff>
      <xdr:row>27</xdr:row>
      <xdr:rowOff>7620</xdr:rowOff>
    </xdr:from>
    <xdr:to>
      <xdr:col>8</xdr:col>
      <xdr:colOff>0</xdr:colOff>
      <xdr:row>28</xdr:row>
      <xdr:rowOff>0</xdr:rowOff>
    </xdr:to>
    <xdr:cxnSp>
      <xdr:nvCxnSpPr>
        <xdr:cNvPr id="2" name="直線コネクタ 1"/>
        <xdr:cNvCxnSpPr/>
      </xdr:nvCxnSpPr>
      <xdr:spPr>
        <a:xfrm>
          <a:off x="5820410" y="4671060"/>
          <a:ext cx="1000125" cy="3352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1228725</xdr:colOff>
      <xdr:row>27</xdr:row>
      <xdr:rowOff>15240</xdr:rowOff>
    </xdr:from>
    <xdr:to>
      <xdr:col>3</xdr:col>
      <xdr:colOff>7620</xdr:colOff>
      <xdr:row>28</xdr:row>
      <xdr:rowOff>7620</xdr:rowOff>
    </xdr:to>
    <xdr:cxnSp>
      <xdr:nvCxnSpPr>
        <xdr:cNvPr id="3" name="直線コネクタ 2"/>
        <xdr:cNvCxnSpPr/>
      </xdr:nvCxnSpPr>
      <xdr:spPr>
        <a:xfrm>
          <a:off x="1626235" y="4678680"/>
          <a:ext cx="993140" cy="3352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34290</xdr:colOff>
      <xdr:row>25</xdr:row>
      <xdr:rowOff>4445</xdr:rowOff>
    </xdr:from>
    <xdr:to>
      <xdr:col>7</xdr:col>
      <xdr:colOff>1007745</xdr:colOff>
      <xdr:row>25</xdr:row>
      <xdr:rowOff>166370</xdr:rowOff>
    </xdr:to>
    <xdr:cxnSp>
      <xdr:nvCxnSpPr>
        <xdr:cNvPr id="4" name="直線コネクタ 3"/>
        <xdr:cNvCxnSpPr/>
      </xdr:nvCxnSpPr>
      <xdr:spPr>
        <a:xfrm>
          <a:off x="5846445" y="4332605"/>
          <a:ext cx="973455" cy="1619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oiro-template%20&#12371;&#12428;&#20932;&#1235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①青色申告決算書"/>
      <sheetName val="②月別売上"/>
      <sheetName val="➂減価償却"/>
      <sheetName val="④貸借対照表"/>
      <sheetName val="仕訳帳"/>
      <sheetName val="科目・集計"/>
      <sheetName val="普通"/>
      <sheetName val="売掛"/>
      <sheetName val="敷保"/>
      <sheetName val="事貸"/>
      <sheetName val="事借"/>
      <sheetName val="売上"/>
      <sheetName val="地家"/>
      <sheetName val="水光"/>
      <sheetName val="通信"/>
      <sheetName val="消耗"/>
      <sheetName val="図書"/>
      <sheetName val="手数"/>
      <sheetName val="損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aoiro-free" TargetMode="External"/><Relationship Id="rId2" Type="http://schemas.openxmlformats.org/officeDocument/2006/relationships/hyperlink" Target="mailto:tooltoyama@gmail.com" TargetMode="Externa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
  <sheetViews>
    <sheetView tabSelected="1" workbookViewId="0">
      <selection activeCell="C47" sqref="C47"/>
    </sheetView>
  </sheetViews>
  <sheetFormatPr defaultColWidth="8.88888888888889" defaultRowHeight="13.2" outlineLevelCol="4"/>
  <cols>
    <col min="1" max="1" width="8.88888888888889" style="3"/>
    <col min="2" max="2" width="30.7777777777778" style="3" customWidth="1"/>
    <col min="3" max="3" width="106.888888888889" style="3" customWidth="1"/>
    <col min="4" max="4" width="13.5555555555556" style="3" customWidth="1"/>
    <col min="5" max="5" width="18.6666666666667" style="3" customWidth="1"/>
    <col min="6" max="16384" width="8.88888888888889" style="3"/>
  </cols>
  <sheetData>
    <row r="1" s="3" customFormat="1" ht="17.4" spans="1:5">
      <c r="A1" s="280"/>
      <c r="B1" s="280"/>
      <c r="C1" s="280"/>
      <c r="D1" s="280"/>
      <c r="E1" s="280"/>
    </row>
    <row r="2" s="3" customFormat="1" ht="28.8" spans="1:5">
      <c r="A2" s="280"/>
      <c r="B2" s="281" t="s">
        <v>0</v>
      </c>
      <c r="C2" s="280"/>
      <c r="D2" s="280"/>
      <c r="E2" s="280"/>
    </row>
    <row r="3" s="3" customFormat="1" ht="28.8" spans="1:5">
      <c r="A3" s="280"/>
      <c r="B3" s="281" t="s">
        <v>1</v>
      </c>
      <c r="C3" s="280"/>
      <c r="D3" s="280"/>
      <c r="E3" s="280"/>
    </row>
    <row r="4" s="3" customFormat="1" ht="34.8" spans="1:5">
      <c r="A4" s="280"/>
      <c r="B4" s="282"/>
      <c r="C4" s="280"/>
      <c r="D4" s="280"/>
      <c r="E4" s="280"/>
    </row>
    <row r="5" s="3" customFormat="1" ht="28.8" spans="1:5">
      <c r="A5" s="280"/>
      <c r="B5" s="281" t="s">
        <v>2</v>
      </c>
      <c r="C5" s="280"/>
      <c r="D5" s="280"/>
      <c r="E5" s="280"/>
    </row>
    <row r="6" s="3" customFormat="1" ht="23.4" spans="1:5">
      <c r="A6" s="280"/>
      <c r="B6" s="283" t="s">
        <v>3</v>
      </c>
      <c r="C6" s="284"/>
      <c r="D6" s="280"/>
      <c r="E6" s="280"/>
    </row>
    <row r="7" s="3" customFormat="1" ht="24" customHeight="1" spans="1:5">
      <c r="A7" s="280"/>
      <c r="B7" s="285"/>
      <c r="C7" s="286"/>
      <c r="D7" s="280"/>
      <c r="E7" s="280"/>
    </row>
    <row r="8" s="3" customFormat="1" ht="24" customHeight="1" spans="1:5">
      <c r="A8" s="280"/>
      <c r="B8" s="287" t="s">
        <v>4</v>
      </c>
      <c r="C8" s="286"/>
      <c r="D8" s="280"/>
      <c r="E8" s="280"/>
    </row>
    <row r="9" s="3" customFormat="1" ht="24" customHeight="1" spans="1:5">
      <c r="A9" s="280"/>
      <c r="B9" s="288" t="s">
        <v>5</v>
      </c>
      <c r="C9" s="289"/>
      <c r="D9" s="280"/>
      <c r="E9" s="280"/>
    </row>
    <row r="10" s="3" customFormat="1" ht="17.4" spans="1:5">
      <c r="A10" s="280"/>
      <c r="B10" s="280"/>
      <c r="C10" s="280"/>
      <c r="D10" s="280"/>
      <c r="E10" s="280"/>
    </row>
    <row r="11" s="3" customFormat="1" ht="21.6" spans="1:5">
      <c r="A11" s="280"/>
      <c r="B11" s="290" t="s">
        <v>6</v>
      </c>
      <c r="C11" s="290" t="s">
        <v>7</v>
      </c>
      <c r="D11" s="280"/>
      <c r="E11" s="280"/>
    </row>
    <row r="12" s="3" customFormat="1" ht="17.4" spans="1:5">
      <c r="A12" s="280"/>
      <c r="B12" s="280"/>
      <c r="C12" s="280"/>
      <c r="D12" s="280"/>
      <c r="E12" s="280"/>
    </row>
    <row r="13" s="3" customFormat="1" ht="17.4" spans="1:5">
      <c r="A13" s="280"/>
      <c r="B13" s="280"/>
      <c r="C13" s="280"/>
      <c r="D13" s="280"/>
      <c r="E13" s="280"/>
    </row>
    <row r="14" s="3" customFormat="1" ht="29" customHeight="1" spans="1:5">
      <c r="A14" s="280"/>
      <c r="B14" s="291" t="s">
        <v>8</v>
      </c>
      <c r="C14" s="292"/>
      <c r="D14" s="293" t="s">
        <v>9</v>
      </c>
      <c r="E14" s="293" t="s">
        <v>10</v>
      </c>
    </row>
    <row r="15" s="3" customFormat="1" ht="61" customHeight="1" spans="1:5">
      <c r="A15" s="280"/>
      <c r="B15" s="294" t="s">
        <v>11</v>
      </c>
      <c r="C15" s="295" t="s">
        <v>12</v>
      </c>
      <c r="D15" s="293" t="s">
        <v>13</v>
      </c>
      <c r="E15" s="293" t="s">
        <v>13</v>
      </c>
    </row>
    <row r="16" s="3" customFormat="1" ht="92" customHeight="1" spans="1:5">
      <c r="A16" s="280"/>
      <c r="B16" s="294" t="s">
        <v>14</v>
      </c>
      <c r="C16" s="295" t="s">
        <v>15</v>
      </c>
      <c r="D16" s="293" t="s">
        <v>16</v>
      </c>
      <c r="E16" s="293" t="s">
        <v>11</v>
      </c>
    </row>
    <row r="17" s="3" customFormat="1" ht="116" customHeight="1" spans="1:5">
      <c r="A17" s="280"/>
      <c r="B17" s="296" t="s">
        <v>17</v>
      </c>
      <c r="C17" s="295" t="s">
        <v>18</v>
      </c>
      <c r="D17" s="293" t="s">
        <v>16</v>
      </c>
      <c r="E17" s="293" t="s">
        <v>14</v>
      </c>
    </row>
    <row r="18" s="3" customFormat="1" ht="75" customHeight="1" spans="1:5">
      <c r="A18" s="280"/>
      <c r="B18" s="294" t="s">
        <v>19</v>
      </c>
      <c r="C18" s="295" t="s">
        <v>20</v>
      </c>
      <c r="D18" s="293" t="s">
        <v>16</v>
      </c>
      <c r="E18" s="293" t="s">
        <v>14</v>
      </c>
    </row>
    <row r="19" s="3" customFormat="1" ht="73" customHeight="1" spans="1:5">
      <c r="A19" s="280"/>
      <c r="B19" s="294" t="s">
        <v>21</v>
      </c>
      <c r="C19" s="295" t="s">
        <v>22</v>
      </c>
      <c r="D19" s="293" t="s">
        <v>13</v>
      </c>
      <c r="E19" s="293" t="s">
        <v>13</v>
      </c>
    </row>
    <row r="20" s="3" customFormat="1" ht="69" customHeight="1" spans="1:5">
      <c r="A20" s="280"/>
      <c r="B20" s="294" t="s">
        <v>23</v>
      </c>
      <c r="C20" s="295" t="s">
        <v>24</v>
      </c>
      <c r="D20" s="293" t="s">
        <v>16</v>
      </c>
      <c r="E20" s="293" t="s">
        <v>14</v>
      </c>
    </row>
    <row r="21" s="3" customFormat="1" ht="82" customHeight="1" spans="1:5">
      <c r="A21" s="280"/>
      <c r="B21" s="294" t="s">
        <v>25</v>
      </c>
      <c r="C21" s="295" t="s">
        <v>26</v>
      </c>
      <c r="D21" s="293" t="s">
        <v>16</v>
      </c>
      <c r="E21" s="293" t="s">
        <v>14</v>
      </c>
    </row>
    <row r="22" s="3" customFormat="1" ht="86.4" spans="1:5">
      <c r="A22" s="280"/>
      <c r="B22" s="294" t="s">
        <v>27</v>
      </c>
      <c r="C22" s="295" t="s">
        <v>28</v>
      </c>
      <c r="D22" s="293" t="s">
        <v>16</v>
      </c>
      <c r="E22" s="293" t="s">
        <v>14</v>
      </c>
    </row>
    <row r="23" s="3" customFormat="1" ht="37" customHeight="1" spans="1:5">
      <c r="A23" s="280"/>
      <c r="B23" s="294" t="s">
        <v>29</v>
      </c>
      <c r="C23" s="297" t="s">
        <v>30</v>
      </c>
      <c r="D23" s="293" t="s">
        <v>13</v>
      </c>
      <c r="E23" s="293" t="s">
        <v>13</v>
      </c>
    </row>
    <row r="24" s="3" customFormat="1" ht="26.4" spans="1:5">
      <c r="A24" s="280"/>
      <c r="B24" s="294" t="s">
        <v>31</v>
      </c>
      <c r="C24" s="297" t="s">
        <v>32</v>
      </c>
      <c r="D24" s="293" t="s">
        <v>16</v>
      </c>
      <c r="E24" s="293" t="s">
        <v>13</v>
      </c>
    </row>
    <row r="25" s="3" customFormat="1" ht="21.6" spans="1:5">
      <c r="A25" s="280"/>
      <c r="B25" s="293"/>
      <c r="C25" s="297"/>
      <c r="D25" s="293"/>
      <c r="E25" s="293"/>
    </row>
    <row r="26" s="3" customFormat="1" ht="21.6" spans="1:5">
      <c r="A26" s="280"/>
      <c r="B26" s="293"/>
      <c r="C26" s="297"/>
      <c r="D26" s="293"/>
      <c r="E26" s="293"/>
    </row>
    <row r="27" s="3" customFormat="1" ht="21.6" spans="1:5">
      <c r="A27" s="280"/>
      <c r="B27" s="293"/>
      <c r="C27" s="297"/>
      <c r="D27" s="293"/>
      <c r="E27" s="293"/>
    </row>
    <row r="28" s="3" customFormat="1" ht="21.6" spans="1:5">
      <c r="A28" s="280"/>
      <c r="B28" s="293"/>
      <c r="C28" s="297"/>
      <c r="D28" s="293"/>
      <c r="E28" s="293"/>
    </row>
    <row r="29" s="3" customFormat="1" ht="21.6" spans="1:5">
      <c r="A29" s="280"/>
      <c r="B29" s="293"/>
      <c r="C29" s="297"/>
      <c r="D29" s="293"/>
      <c r="E29" s="293"/>
    </row>
    <row r="32" s="3" customFormat="1" spans="2:3">
      <c r="B32" s="298" t="s">
        <v>33</v>
      </c>
      <c r="C32" s="298" t="s">
        <v>34</v>
      </c>
    </row>
    <row r="33" s="3" customFormat="1" spans="2:3">
      <c r="B33" s="3" t="s">
        <v>35</v>
      </c>
      <c r="C33" s="3" t="s">
        <v>36</v>
      </c>
    </row>
    <row r="34" s="3" customFormat="1" spans="2:3">
      <c r="B34" s="3" t="s">
        <v>35</v>
      </c>
      <c r="C34" s="3" t="s">
        <v>37</v>
      </c>
    </row>
    <row r="35" s="3" customFormat="1" spans="2:3">
      <c r="B35" s="3" t="s">
        <v>35</v>
      </c>
      <c r="C35" s="3" t="s">
        <v>38</v>
      </c>
    </row>
    <row r="36" s="3" customFormat="1" spans="2:3">
      <c r="B36" s="3" t="s">
        <v>39</v>
      </c>
      <c r="C36" s="3" t="s">
        <v>40</v>
      </c>
    </row>
    <row r="37" s="3" customFormat="1" spans="2:3">
      <c r="B37" s="3" t="s">
        <v>39</v>
      </c>
      <c r="C37" s="3" t="s">
        <v>41</v>
      </c>
    </row>
    <row r="38" s="3" customFormat="1" spans="2:3">
      <c r="B38" s="3" t="s">
        <v>39</v>
      </c>
      <c r="C38" s="3" t="s">
        <v>42</v>
      </c>
    </row>
    <row r="39" s="3" customFormat="1" spans="2:3">
      <c r="B39" s="3" t="s">
        <v>39</v>
      </c>
      <c r="C39" s="3" t="s">
        <v>43</v>
      </c>
    </row>
    <row r="40" s="3" customFormat="1" spans="2:3">
      <c r="B40" s="3" t="s">
        <v>39</v>
      </c>
      <c r="C40" s="3" t="s">
        <v>44</v>
      </c>
    </row>
    <row r="41" s="3" customFormat="1" spans="2:3">
      <c r="B41" s="3" t="s">
        <v>45</v>
      </c>
      <c r="C41" s="3" t="s">
        <v>46</v>
      </c>
    </row>
    <row r="42" spans="2:3">
      <c r="B42" s="3" t="s">
        <v>47</v>
      </c>
      <c r="C42" s="3" t="s">
        <v>48</v>
      </c>
    </row>
    <row r="43" spans="2:3">
      <c r="B43" s="3" t="s">
        <v>49</v>
      </c>
      <c r="C43" s="299" t="s">
        <v>50</v>
      </c>
    </row>
    <row r="44" spans="2:3">
      <c r="B44" s="3" t="s">
        <v>51</v>
      </c>
      <c r="C44" s="52" t="s">
        <v>52</v>
      </c>
    </row>
    <row r="45" spans="2:3">
      <c r="B45" s="3" t="s">
        <v>51</v>
      </c>
      <c r="C45" s="300" t="s">
        <v>53</v>
      </c>
    </row>
    <row r="46" spans="2:3">
      <c r="B46" s="3" t="s">
        <v>54</v>
      </c>
      <c r="C46" s="300" t="s">
        <v>55</v>
      </c>
    </row>
    <row r="48" s="3" customFormat="1" spans="2:3">
      <c r="B48" s="3" t="s">
        <v>56</v>
      </c>
      <c r="C48" s="3" t="s">
        <v>57</v>
      </c>
    </row>
    <row r="49" spans="3:3">
      <c r="C49" s="3" t="s">
        <v>58</v>
      </c>
    </row>
    <row r="50" spans="3:3">
      <c r="C50" s="3" t="s">
        <v>59</v>
      </c>
    </row>
  </sheetData>
  <hyperlinks>
    <hyperlink ref="B9" r:id="rId2" display="tooltoyama@gmail.com"/>
    <hyperlink ref="B6" r:id="rId3" display="https://www.youtube.com/@aoiro-free"/>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124"/>
  <sheetViews>
    <sheetView zoomScale="145" zoomScaleNormal="145" workbookViewId="0">
      <pane ySplit="2" topLeftCell="A3" activePane="bottomLeft" state="frozen"/>
      <selection/>
      <selection pane="bottomLeft" activeCell="A1" sqref="A1"/>
    </sheetView>
  </sheetViews>
  <sheetFormatPr defaultColWidth="8.88888888888889" defaultRowHeight="19.2"/>
  <cols>
    <col min="1" max="1" width="8.88888888888889" style="3"/>
    <col min="2" max="2" width="11.4444444444444" style="54" customWidth="1"/>
    <col min="3" max="3" width="40.8888888888889" style="4" customWidth="1"/>
    <col min="4" max="4" width="20.6666666666667" style="226" customWidth="1"/>
    <col min="5" max="6" width="8.88888888888889" style="54"/>
    <col min="7" max="7" width="15.4444444444444" style="54" customWidth="1"/>
    <col min="8" max="8" width="8.11111111111111" style="54" customWidth="1"/>
    <col min="9" max="9" width="3.77777777777778" style="54" customWidth="1"/>
    <col min="10" max="10" width="8.88888888888889" style="54"/>
    <col min="11" max="11" width="30.8888888888889" style="54" customWidth="1"/>
    <col min="12" max="12" width="11.8888888888889" style="54" customWidth="1"/>
    <col min="13" max="16384" width="8.88888888888889" style="3"/>
  </cols>
  <sheetData>
    <row r="1" ht="67" customHeight="1" spans="2:4">
      <c r="B1" s="268" t="s">
        <v>60</v>
      </c>
      <c r="C1" s="269"/>
      <c r="D1" s="269"/>
    </row>
    <row r="2" spans="2:12">
      <c r="B2" s="270" t="s">
        <v>61</v>
      </c>
      <c r="C2" s="271" t="s">
        <v>11</v>
      </c>
      <c r="D2" s="272" t="s">
        <v>62</v>
      </c>
      <c r="F2" s="3"/>
      <c r="G2" s="3"/>
      <c r="H2" s="3"/>
      <c r="I2" s="3"/>
      <c r="J2" s="3"/>
      <c r="K2" s="3"/>
      <c r="L2" s="3"/>
    </row>
    <row r="3" spans="2:12">
      <c r="B3" s="273">
        <v>1</v>
      </c>
      <c r="C3" s="274" t="s">
        <v>63</v>
      </c>
      <c r="D3" s="245" t="s">
        <v>64</v>
      </c>
      <c r="F3" s="3"/>
      <c r="G3" s="3"/>
      <c r="H3" s="3"/>
      <c r="I3" s="3"/>
      <c r="J3" s="3"/>
      <c r="K3" s="3"/>
      <c r="L3" s="3"/>
    </row>
    <row r="4" spans="2:12">
      <c r="B4" s="273">
        <v>2</v>
      </c>
      <c r="C4" s="274" t="s">
        <v>65</v>
      </c>
      <c r="D4" s="245" t="s">
        <v>66</v>
      </c>
      <c r="F4" s="3"/>
      <c r="G4" s="3"/>
      <c r="H4" s="3"/>
      <c r="I4" s="3"/>
      <c r="J4" s="3"/>
      <c r="K4" s="3"/>
      <c r="L4" s="3"/>
    </row>
    <row r="5" spans="2:12">
      <c r="B5" s="273">
        <v>3</v>
      </c>
      <c r="C5" s="274" t="s">
        <v>67</v>
      </c>
      <c r="D5" s="245" t="s">
        <v>66</v>
      </c>
      <c r="F5" s="3"/>
      <c r="G5" s="3"/>
      <c r="H5" s="3"/>
      <c r="I5" s="3"/>
      <c r="J5" s="3"/>
      <c r="K5" s="3"/>
      <c r="L5" s="3"/>
    </row>
    <row r="6" spans="2:12">
      <c r="B6" s="273" t="s">
        <v>68</v>
      </c>
      <c r="C6" s="274" t="s">
        <v>68</v>
      </c>
      <c r="D6" s="245" t="s">
        <v>68</v>
      </c>
      <c r="F6" s="3"/>
      <c r="G6" s="3"/>
      <c r="H6" s="3"/>
      <c r="I6" s="3"/>
      <c r="J6" s="3"/>
      <c r="K6" s="3"/>
      <c r="L6" s="3"/>
    </row>
    <row r="7" spans="2:12">
      <c r="B7" s="273">
        <v>5</v>
      </c>
      <c r="C7" s="274" t="s">
        <v>69</v>
      </c>
      <c r="D7" s="245" t="s">
        <v>70</v>
      </c>
      <c r="F7" s="3"/>
      <c r="G7" s="3"/>
      <c r="H7" s="3"/>
      <c r="I7" s="3"/>
      <c r="J7" s="3"/>
      <c r="K7" s="3"/>
      <c r="L7" s="3"/>
    </row>
    <row r="8" spans="2:12">
      <c r="B8" s="273">
        <v>6</v>
      </c>
      <c r="C8" s="274" t="s">
        <v>71</v>
      </c>
      <c r="D8" s="245" t="s">
        <v>72</v>
      </c>
      <c r="F8" s="3"/>
      <c r="G8" s="3"/>
      <c r="H8" s="3"/>
      <c r="I8" s="3"/>
      <c r="J8" s="3"/>
      <c r="K8" s="3"/>
      <c r="L8" s="3"/>
    </row>
    <row r="9" spans="2:12">
      <c r="B9" s="273" t="s">
        <v>68</v>
      </c>
      <c r="C9" s="274" t="s">
        <v>68</v>
      </c>
      <c r="D9" s="245" t="s">
        <v>68</v>
      </c>
      <c r="F9" s="3"/>
      <c r="G9" s="3"/>
      <c r="H9" s="3"/>
      <c r="I9" s="3"/>
      <c r="J9" s="3"/>
      <c r="K9" s="3"/>
      <c r="L9" s="3"/>
    </row>
    <row r="10" spans="2:12">
      <c r="B10" s="273">
        <v>8</v>
      </c>
      <c r="C10" s="274" t="s">
        <v>73</v>
      </c>
      <c r="D10" s="245" t="s">
        <v>74</v>
      </c>
      <c r="F10" s="3"/>
      <c r="G10" s="3"/>
      <c r="H10" s="3"/>
      <c r="I10" s="3"/>
      <c r="J10" s="3"/>
      <c r="K10" s="3"/>
      <c r="L10" s="3"/>
    </row>
    <row r="11" spans="2:12">
      <c r="B11" s="273">
        <v>9</v>
      </c>
      <c r="C11" s="274" t="s">
        <v>75</v>
      </c>
      <c r="D11" s="245" t="s">
        <v>74</v>
      </c>
      <c r="F11" s="3"/>
      <c r="G11" s="3"/>
      <c r="H11" s="3"/>
      <c r="I11" s="3"/>
      <c r="J11" s="3"/>
      <c r="K11" s="3"/>
      <c r="L11" s="3"/>
    </row>
    <row r="12" spans="2:12">
      <c r="B12" s="273">
        <v>10</v>
      </c>
      <c r="C12" s="274" t="s">
        <v>76</v>
      </c>
      <c r="D12" s="245" t="s">
        <v>74</v>
      </c>
      <c r="F12" s="3"/>
      <c r="G12" s="3"/>
      <c r="H12" s="3"/>
      <c r="I12" s="3"/>
      <c r="J12" s="3"/>
      <c r="K12" s="3"/>
      <c r="L12" s="3"/>
    </row>
    <row r="13" spans="2:12">
      <c r="B13" s="273">
        <v>11</v>
      </c>
      <c r="C13" s="274" t="s">
        <v>77</v>
      </c>
      <c r="D13" s="245" t="s">
        <v>74</v>
      </c>
      <c r="F13" s="3"/>
      <c r="G13" s="3"/>
      <c r="H13" s="3"/>
      <c r="I13" s="3"/>
      <c r="J13" s="3"/>
      <c r="K13" s="3"/>
      <c r="L13" s="3"/>
    </row>
    <row r="14" spans="2:12">
      <c r="B14" s="273">
        <v>12</v>
      </c>
      <c r="C14" s="274" t="s">
        <v>78</v>
      </c>
      <c r="D14" s="245" t="s">
        <v>74</v>
      </c>
      <c r="F14" s="3"/>
      <c r="G14" s="3"/>
      <c r="H14" s="3"/>
      <c r="I14" s="3"/>
      <c r="J14" s="3"/>
      <c r="K14" s="3"/>
      <c r="L14" s="3"/>
    </row>
    <row r="15" spans="2:12">
      <c r="B15" s="273">
        <v>13</v>
      </c>
      <c r="C15" s="274" t="s">
        <v>79</v>
      </c>
      <c r="D15" s="245" t="s">
        <v>74</v>
      </c>
      <c r="F15" s="3"/>
      <c r="G15" s="3"/>
      <c r="H15" s="3"/>
      <c r="I15" s="3"/>
      <c r="J15" s="3"/>
      <c r="K15" s="3"/>
      <c r="L15" s="3"/>
    </row>
    <row r="16" spans="2:12">
      <c r="B16" s="273">
        <v>14</v>
      </c>
      <c r="C16" s="274" t="s">
        <v>80</v>
      </c>
      <c r="D16" s="245" t="s">
        <v>74</v>
      </c>
      <c r="F16" s="3"/>
      <c r="G16" s="3"/>
      <c r="H16" s="3"/>
      <c r="I16" s="3"/>
      <c r="J16" s="3"/>
      <c r="K16" s="3"/>
      <c r="L16" s="3"/>
    </row>
    <row r="17" spans="2:12">
      <c r="B17" s="273">
        <v>15</v>
      </c>
      <c r="C17" s="274" t="s">
        <v>81</v>
      </c>
      <c r="D17" s="245" t="s">
        <v>74</v>
      </c>
      <c r="F17" s="3"/>
      <c r="G17" s="3"/>
      <c r="H17" s="3"/>
      <c r="I17" s="3"/>
      <c r="J17" s="3"/>
      <c r="K17" s="3"/>
      <c r="L17" s="3"/>
    </row>
    <row r="18" spans="2:12">
      <c r="B18" s="273">
        <v>16</v>
      </c>
      <c r="C18" s="274" t="s">
        <v>82</v>
      </c>
      <c r="D18" s="245" t="s">
        <v>74</v>
      </c>
      <c r="F18" s="3"/>
      <c r="G18" s="3"/>
      <c r="H18" s="3"/>
      <c r="I18" s="3"/>
      <c r="J18" s="3"/>
      <c r="K18" s="3"/>
      <c r="L18" s="3"/>
    </row>
    <row r="19" spans="2:12">
      <c r="B19" s="273">
        <v>17</v>
      </c>
      <c r="C19" s="274" t="s">
        <v>83</v>
      </c>
      <c r="D19" s="245" t="s">
        <v>74</v>
      </c>
      <c r="F19" s="3"/>
      <c r="G19" s="3"/>
      <c r="H19" s="3"/>
      <c r="I19" s="3"/>
      <c r="J19" s="3"/>
      <c r="K19" s="3"/>
      <c r="L19" s="3"/>
    </row>
    <row r="20" spans="2:12">
      <c r="B20" s="273">
        <v>18</v>
      </c>
      <c r="C20" s="274" t="s">
        <v>84</v>
      </c>
      <c r="D20" s="245" t="s">
        <v>74</v>
      </c>
      <c r="F20" s="3"/>
      <c r="G20" s="3"/>
      <c r="H20" s="3"/>
      <c r="I20" s="3"/>
      <c r="J20" s="3"/>
      <c r="K20" s="3"/>
      <c r="L20" s="3"/>
    </row>
    <row r="21" spans="2:12">
      <c r="B21" s="273">
        <v>19</v>
      </c>
      <c r="C21" s="274" t="s">
        <v>85</v>
      </c>
      <c r="D21" s="245" t="s">
        <v>74</v>
      </c>
      <c r="F21" s="3"/>
      <c r="G21" s="3"/>
      <c r="H21" s="3"/>
      <c r="I21" s="3"/>
      <c r="J21" s="3"/>
      <c r="K21" s="3"/>
      <c r="L21" s="3"/>
    </row>
    <row r="22" spans="2:12">
      <c r="B22" s="273">
        <v>20</v>
      </c>
      <c r="C22" s="274" t="s">
        <v>86</v>
      </c>
      <c r="D22" s="245" t="s">
        <v>74</v>
      </c>
      <c r="F22" s="3"/>
      <c r="G22" s="3"/>
      <c r="H22" s="3"/>
      <c r="I22" s="3"/>
      <c r="J22" s="3"/>
      <c r="K22" s="3"/>
      <c r="L22" s="3"/>
    </row>
    <row r="23" spans="2:12">
      <c r="B23" s="273">
        <v>21</v>
      </c>
      <c r="C23" s="274" t="s">
        <v>44</v>
      </c>
      <c r="D23" s="245" t="s">
        <v>74</v>
      </c>
      <c r="F23" s="3"/>
      <c r="G23" s="3"/>
      <c r="H23" s="3"/>
      <c r="I23" s="3"/>
      <c r="J23" s="3"/>
      <c r="K23" s="3"/>
      <c r="L23" s="3"/>
    </row>
    <row r="24" spans="2:12">
      <c r="B24" s="273">
        <v>22</v>
      </c>
      <c r="C24" s="274" t="s">
        <v>87</v>
      </c>
      <c r="D24" s="245" t="s">
        <v>74</v>
      </c>
      <c r="F24" s="3"/>
      <c r="G24" s="3"/>
      <c r="H24" s="3"/>
      <c r="I24" s="3"/>
      <c r="J24" s="3"/>
      <c r="K24" s="3"/>
      <c r="L24" s="3"/>
    </row>
    <row r="25" spans="2:12">
      <c r="B25" s="273">
        <v>23</v>
      </c>
      <c r="C25" s="274" t="s">
        <v>88</v>
      </c>
      <c r="D25" s="245" t="s">
        <v>74</v>
      </c>
      <c r="F25" s="3"/>
      <c r="G25" s="3"/>
      <c r="H25" s="3"/>
      <c r="I25" s="3"/>
      <c r="J25" s="3"/>
      <c r="K25" s="3"/>
      <c r="L25" s="3"/>
    </row>
    <row r="26" spans="2:12">
      <c r="B26" s="273">
        <v>24</v>
      </c>
      <c r="C26" s="274" t="s">
        <v>89</v>
      </c>
      <c r="D26" s="245" t="s">
        <v>74</v>
      </c>
      <c r="F26" s="3"/>
      <c r="G26" s="3"/>
      <c r="H26" s="3"/>
      <c r="I26" s="3"/>
      <c r="J26" s="3"/>
      <c r="K26" s="3"/>
      <c r="L26" s="3"/>
    </row>
    <row r="27" spans="2:12">
      <c r="B27" s="273">
        <v>25</v>
      </c>
      <c r="C27" s="275"/>
      <c r="D27" s="245" t="s">
        <v>74</v>
      </c>
      <c r="F27" s="3"/>
      <c r="G27" s="3"/>
      <c r="H27" s="3"/>
      <c r="I27" s="3"/>
      <c r="J27" s="3"/>
      <c r="K27" s="3"/>
      <c r="L27" s="3"/>
    </row>
    <row r="28" spans="2:12">
      <c r="B28" s="273">
        <v>26</v>
      </c>
      <c r="C28" s="275"/>
      <c r="D28" s="245" t="s">
        <v>74</v>
      </c>
      <c r="F28" s="3"/>
      <c r="G28" s="3"/>
      <c r="H28" s="3"/>
      <c r="I28" s="3"/>
      <c r="J28" s="3"/>
      <c r="K28" s="3"/>
      <c r="L28" s="3"/>
    </row>
    <row r="29" spans="2:12">
      <c r="B29" s="273">
        <v>27</v>
      </c>
      <c r="C29" s="275"/>
      <c r="D29" s="245" t="s">
        <v>74</v>
      </c>
      <c r="F29" s="3"/>
      <c r="G29" s="3"/>
      <c r="H29" s="3"/>
      <c r="I29" s="3"/>
      <c r="J29" s="3"/>
      <c r="K29" s="3"/>
      <c r="L29" s="3"/>
    </row>
    <row r="30" spans="2:12">
      <c r="B30" s="273">
        <v>28</v>
      </c>
      <c r="C30" s="275"/>
      <c r="D30" s="245" t="s">
        <v>74</v>
      </c>
      <c r="F30" s="3"/>
      <c r="G30" s="3"/>
      <c r="H30" s="3"/>
      <c r="I30" s="3"/>
      <c r="J30" s="3"/>
      <c r="K30" s="3"/>
      <c r="L30" s="3"/>
    </row>
    <row r="31" spans="2:12">
      <c r="B31" s="273">
        <v>29</v>
      </c>
      <c r="C31" s="275"/>
      <c r="D31" s="245" t="s">
        <v>74</v>
      </c>
      <c r="F31" s="3"/>
      <c r="G31" s="3"/>
      <c r="H31" s="3"/>
      <c r="I31" s="3"/>
      <c r="J31" s="3"/>
      <c r="K31" s="3"/>
      <c r="L31" s="3"/>
    </row>
    <row r="32" spans="2:12">
      <c r="B32" s="273">
        <v>30</v>
      </c>
      <c r="C32" s="275"/>
      <c r="D32" s="245" t="s">
        <v>74</v>
      </c>
      <c r="F32" s="3"/>
      <c r="G32" s="3"/>
      <c r="H32" s="3"/>
      <c r="I32" s="3"/>
      <c r="J32" s="3"/>
      <c r="K32" s="3"/>
      <c r="L32" s="3"/>
    </row>
    <row r="33" spans="2:12">
      <c r="B33" s="273">
        <v>31</v>
      </c>
      <c r="C33" s="274" t="s">
        <v>90</v>
      </c>
      <c r="D33" s="245" t="s">
        <v>74</v>
      </c>
      <c r="F33" s="3"/>
      <c r="G33" s="3"/>
      <c r="H33" s="3"/>
      <c r="I33" s="3"/>
      <c r="J33" s="3"/>
      <c r="K33" s="3"/>
      <c r="L33" s="3"/>
    </row>
    <row r="34" spans="2:12">
      <c r="B34" s="273" t="s">
        <v>68</v>
      </c>
      <c r="C34" s="274" t="s">
        <v>68</v>
      </c>
      <c r="D34" s="245" t="s">
        <v>68</v>
      </c>
      <c r="F34" s="3"/>
      <c r="G34" s="3"/>
      <c r="H34" s="3"/>
      <c r="I34" s="3"/>
      <c r="J34" s="3"/>
      <c r="K34" s="3"/>
      <c r="L34" s="3"/>
    </row>
    <row r="35" spans="2:12">
      <c r="B35" s="273" t="s">
        <v>68</v>
      </c>
      <c r="C35" s="274" t="s">
        <v>68</v>
      </c>
      <c r="D35" s="245" t="s">
        <v>68</v>
      </c>
      <c r="F35" s="3"/>
      <c r="G35" s="3"/>
      <c r="H35" s="3"/>
      <c r="I35" s="3"/>
      <c r="J35" s="3"/>
      <c r="K35" s="3"/>
      <c r="L35" s="3"/>
    </row>
    <row r="36" spans="2:12">
      <c r="B36" s="273">
        <v>34</v>
      </c>
      <c r="C36" s="274" t="s">
        <v>91</v>
      </c>
      <c r="D36" s="245" t="s">
        <v>64</v>
      </c>
      <c r="F36" s="3"/>
      <c r="G36" s="3"/>
      <c r="H36" s="3"/>
      <c r="I36" s="3"/>
      <c r="J36" s="3"/>
      <c r="K36" s="3"/>
      <c r="L36" s="3"/>
    </row>
    <row r="37" spans="2:12">
      <c r="B37" s="273">
        <v>35</v>
      </c>
      <c r="C37" s="275"/>
      <c r="D37" s="245" t="s">
        <v>64</v>
      </c>
      <c r="F37" s="3"/>
      <c r="G37" s="3"/>
      <c r="H37" s="3"/>
      <c r="I37" s="3"/>
      <c r="J37" s="3"/>
      <c r="K37" s="3"/>
      <c r="L37" s="3"/>
    </row>
    <row r="38" spans="2:12">
      <c r="B38" s="273">
        <v>36</v>
      </c>
      <c r="C38" s="275"/>
      <c r="D38" s="245" t="s">
        <v>64</v>
      </c>
      <c r="F38" s="3"/>
      <c r="G38" s="3"/>
      <c r="H38" s="3"/>
      <c r="I38" s="3"/>
      <c r="J38" s="3"/>
      <c r="K38" s="3"/>
      <c r="L38" s="3"/>
    </row>
    <row r="39" spans="2:12">
      <c r="B39" s="273" t="s">
        <v>68</v>
      </c>
      <c r="C39" s="274" t="s">
        <v>68</v>
      </c>
      <c r="D39" s="245" t="s">
        <v>68</v>
      </c>
      <c r="F39" s="3"/>
      <c r="G39" s="3"/>
      <c r="H39" s="3"/>
      <c r="I39" s="3"/>
      <c r="J39" s="3"/>
      <c r="K39" s="3"/>
      <c r="L39" s="3"/>
    </row>
    <row r="40" spans="2:12">
      <c r="B40" s="273">
        <v>38</v>
      </c>
      <c r="C40" s="274" t="s">
        <v>92</v>
      </c>
      <c r="D40" s="245" t="s">
        <v>74</v>
      </c>
      <c r="F40" s="3"/>
      <c r="G40" s="3"/>
      <c r="H40" s="3"/>
      <c r="I40" s="3"/>
      <c r="J40" s="3"/>
      <c r="K40" s="3"/>
      <c r="L40" s="3"/>
    </row>
    <row r="41" spans="2:12">
      <c r="B41" s="273">
        <v>39</v>
      </c>
      <c r="C41" s="274" t="s">
        <v>93</v>
      </c>
      <c r="D41" s="245" t="s">
        <v>74</v>
      </c>
      <c r="F41" s="3"/>
      <c r="G41" s="3"/>
      <c r="H41" s="3"/>
      <c r="I41" s="3"/>
      <c r="J41" s="3"/>
      <c r="K41" s="3"/>
      <c r="L41" s="3"/>
    </row>
    <row r="42" spans="2:12">
      <c r="B42" s="273">
        <v>40</v>
      </c>
      <c r="C42" s="275"/>
      <c r="D42" s="245" t="s">
        <v>74</v>
      </c>
      <c r="F42" s="3"/>
      <c r="G42" s="3"/>
      <c r="H42" s="3"/>
      <c r="I42" s="3"/>
      <c r="J42" s="3"/>
      <c r="K42" s="3"/>
      <c r="L42" s="3"/>
    </row>
    <row r="43" spans="2:12">
      <c r="B43" s="273">
        <v>41</v>
      </c>
      <c r="C43" s="275"/>
      <c r="D43" s="245" t="s">
        <v>74</v>
      </c>
      <c r="F43" s="3"/>
      <c r="G43" s="3"/>
      <c r="H43" s="3"/>
      <c r="I43" s="3"/>
      <c r="J43" s="3"/>
      <c r="K43" s="3"/>
      <c r="L43" s="3"/>
    </row>
    <row r="44" spans="2:12">
      <c r="B44" s="273" t="s">
        <v>68</v>
      </c>
      <c r="C44" s="274" t="s">
        <v>68</v>
      </c>
      <c r="D44" s="245" t="s">
        <v>68</v>
      </c>
      <c r="F44" s="3"/>
      <c r="G44" s="3"/>
      <c r="H44" s="3"/>
      <c r="I44" s="3"/>
      <c r="J44" s="3"/>
      <c r="K44" s="3"/>
      <c r="L44" s="3"/>
    </row>
    <row r="45" spans="2:12">
      <c r="B45" s="273" t="s">
        <v>68</v>
      </c>
      <c r="C45" s="274" t="s">
        <v>68</v>
      </c>
      <c r="D45" s="245" t="s">
        <v>68</v>
      </c>
      <c r="F45" s="3"/>
      <c r="G45" s="3"/>
      <c r="H45" s="3"/>
      <c r="I45" s="3"/>
      <c r="J45" s="3"/>
      <c r="K45" s="3"/>
      <c r="L45" s="3"/>
    </row>
    <row r="46" spans="2:12">
      <c r="B46" s="273" t="s">
        <v>68</v>
      </c>
      <c r="C46" s="274" t="s">
        <v>68</v>
      </c>
      <c r="D46" s="245" t="s">
        <v>68</v>
      </c>
      <c r="F46" s="3"/>
      <c r="G46" s="3"/>
      <c r="H46" s="3"/>
      <c r="I46" s="3"/>
      <c r="J46" s="3"/>
      <c r="K46" s="3"/>
      <c r="L46" s="3"/>
    </row>
    <row r="47" spans="2:12">
      <c r="B47" s="273" t="s">
        <v>68</v>
      </c>
      <c r="C47" s="274" t="s">
        <v>68</v>
      </c>
      <c r="D47" s="245" t="s">
        <v>68</v>
      </c>
      <c r="F47" s="3"/>
      <c r="G47" s="3"/>
      <c r="H47" s="3"/>
      <c r="I47" s="3"/>
      <c r="J47" s="3"/>
      <c r="K47" s="3"/>
      <c r="L47" s="3"/>
    </row>
    <row r="48" spans="2:12">
      <c r="B48" s="276"/>
      <c r="C48" s="277"/>
      <c r="D48" s="278"/>
      <c r="F48" s="3"/>
      <c r="G48" s="3"/>
      <c r="H48" s="3"/>
      <c r="I48" s="3"/>
      <c r="J48" s="3"/>
      <c r="K48" s="3"/>
      <c r="L48" s="3"/>
    </row>
    <row r="49" spans="2:12">
      <c r="B49" s="273">
        <v>101</v>
      </c>
      <c r="C49" s="274" t="s">
        <v>94</v>
      </c>
      <c r="D49" s="245" t="s">
        <v>72</v>
      </c>
      <c r="F49" s="3"/>
      <c r="G49" s="3"/>
      <c r="H49" s="3"/>
      <c r="I49" s="3"/>
      <c r="J49" s="3"/>
      <c r="K49" s="3"/>
      <c r="L49" s="3"/>
    </row>
    <row r="50" spans="2:12">
      <c r="B50" s="273">
        <v>102</v>
      </c>
      <c r="C50" s="274" t="s">
        <v>95</v>
      </c>
      <c r="D50" s="245" t="s">
        <v>72</v>
      </c>
      <c r="F50" s="3"/>
      <c r="G50" s="3"/>
      <c r="H50" s="3"/>
      <c r="I50" s="3"/>
      <c r="J50" s="3"/>
      <c r="K50" s="3"/>
      <c r="L50" s="3"/>
    </row>
    <row r="51" spans="2:12">
      <c r="B51" s="273">
        <v>103</v>
      </c>
      <c r="C51" s="274" t="s">
        <v>96</v>
      </c>
      <c r="D51" s="245" t="s">
        <v>72</v>
      </c>
      <c r="F51" s="3"/>
      <c r="G51" s="3"/>
      <c r="H51" s="3"/>
      <c r="I51" s="3"/>
      <c r="J51" s="3"/>
      <c r="K51" s="3"/>
      <c r="L51" s="3"/>
    </row>
    <row r="52" spans="2:12">
      <c r="B52" s="273">
        <v>104</v>
      </c>
      <c r="C52" s="274" t="s">
        <v>97</v>
      </c>
      <c r="D52" s="245" t="s">
        <v>72</v>
      </c>
      <c r="F52" s="3"/>
      <c r="G52" s="3"/>
      <c r="H52" s="3"/>
      <c r="I52" s="3"/>
      <c r="J52" s="3"/>
      <c r="K52" s="3"/>
      <c r="L52" s="3"/>
    </row>
    <row r="53" spans="2:4">
      <c r="B53" s="273">
        <v>105</v>
      </c>
      <c r="C53" s="274" t="s">
        <v>98</v>
      </c>
      <c r="D53" s="245" t="s">
        <v>72</v>
      </c>
    </row>
    <row r="54" spans="2:4">
      <c r="B54" s="273">
        <v>106</v>
      </c>
      <c r="C54" s="274" t="s">
        <v>99</v>
      </c>
      <c r="D54" s="245" t="s">
        <v>72</v>
      </c>
    </row>
    <row r="55" spans="2:4">
      <c r="B55" s="273">
        <v>107</v>
      </c>
      <c r="C55" s="274" t="s">
        <v>100</v>
      </c>
      <c r="D55" s="245" t="s">
        <v>72</v>
      </c>
    </row>
    <row r="56" spans="2:4">
      <c r="B56" s="273">
        <v>108</v>
      </c>
      <c r="C56" s="274" t="s">
        <v>101</v>
      </c>
      <c r="D56" s="245" t="s">
        <v>72</v>
      </c>
    </row>
    <row r="57" spans="2:4">
      <c r="B57" s="273">
        <v>109</v>
      </c>
      <c r="C57" s="274" t="s">
        <v>102</v>
      </c>
      <c r="D57" s="245" t="s">
        <v>72</v>
      </c>
    </row>
    <row r="58" spans="2:4">
      <c r="B58" s="273">
        <v>110</v>
      </c>
      <c r="C58" s="274" t="s">
        <v>103</v>
      </c>
      <c r="D58" s="245" t="s">
        <v>72</v>
      </c>
    </row>
    <row r="59" spans="2:4">
      <c r="B59" s="273">
        <v>111</v>
      </c>
      <c r="C59" s="274" t="s">
        <v>104</v>
      </c>
      <c r="D59" s="245" t="s">
        <v>72</v>
      </c>
    </row>
    <row r="60" spans="2:4">
      <c r="B60" s="273">
        <v>112</v>
      </c>
      <c r="C60" s="274" t="s">
        <v>105</v>
      </c>
      <c r="D60" s="245" t="s">
        <v>72</v>
      </c>
    </row>
    <row r="61" spans="2:4">
      <c r="B61" s="273">
        <v>113</v>
      </c>
      <c r="C61" s="274" t="s">
        <v>106</v>
      </c>
      <c r="D61" s="245" t="s">
        <v>72</v>
      </c>
    </row>
    <row r="62" spans="2:4">
      <c r="B62" s="273">
        <v>114</v>
      </c>
      <c r="C62" s="274" t="s">
        <v>107</v>
      </c>
      <c r="D62" s="245" t="s">
        <v>72</v>
      </c>
    </row>
    <row r="63" spans="2:4">
      <c r="B63" s="273">
        <v>115</v>
      </c>
      <c r="C63" s="274" t="s">
        <v>108</v>
      </c>
      <c r="D63" s="245" t="s">
        <v>72</v>
      </c>
    </row>
    <row r="64" spans="2:4">
      <c r="B64" s="273">
        <v>116</v>
      </c>
      <c r="C64" s="274" t="s">
        <v>109</v>
      </c>
      <c r="D64" s="245" t="s">
        <v>72</v>
      </c>
    </row>
    <row r="65" spans="2:4">
      <c r="B65" s="273">
        <v>117</v>
      </c>
      <c r="C65" s="275"/>
      <c r="D65" s="245" t="s">
        <v>72</v>
      </c>
    </row>
    <row r="66" spans="2:4">
      <c r="B66" s="273">
        <v>118</v>
      </c>
      <c r="C66" s="275"/>
      <c r="D66" s="245" t="s">
        <v>72</v>
      </c>
    </row>
    <row r="67" spans="2:4">
      <c r="B67" s="273">
        <v>119</v>
      </c>
      <c r="C67" s="275"/>
      <c r="D67" s="245" t="s">
        <v>72</v>
      </c>
    </row>
    <row r="68" spans="2:4">
      <c r="B68" s="273">
        <v>120</v>
      </c>
      <c r="C68" s="275"/>
      <c r="D68" s="245" t="s">
        <v>72</v>
      </c>
    </row>
    <row r="69" spans="2:4">
      <c r="B69" s="273">
        <v>121</v>
      </c>
      <c r="C69" s="275"/>
      <c r="D69" s="245" t="s">
        <v>72</v>
      </c>
    </row>
    <row r="70" spans="2:4">
      <c r="B70" s="273">
        <v>122</v>
      </c>
      <c r="C70" s="275"/>
      <c r="D70" s="245" t="s">
        <v>72</v>
      </c>
    </row>
    <row r="71" spans="2:4">
      <c r="B71" s="273">
        <v>123</v>
      </c>
      <c r="C71" s="279" t="s">
        <v>110</v>
      </c>
      <c r="D71" s="245" t="s">
        <v>72</v>
      </c>
    </row>
    <row r="72" spans="2:4">
      <c r="B72" s="273">
        <v>124</v>
      </c>
      <c r="C72" s="274" t="s">
        <v>111</v>
      </c>
      <c r="D72" s="245" t="s">
        <v>112</v>
      </c>
    </row>
    <row r="73" spans="2:4">
      <c r="B73" s="273" t="s">
        <v>68</v>
      </c>
      <c r="C73" s="274" t="s">
        <v>68</v>
      </c>
      <c r="D73" s="245" t="s">
        <v>68</v>
      </c>
    </row>
    <row r="74" spans="2:4">
      <c r="B74" s="273" t="s">
        <v>68</v>
      </c>
      <c r="C74" s="274" t="s">
        <v>68</v>
      </c>
      <c r="D74" s="245" t="s">
        <v>68</v>
      </c>
    </row>
    <row r="75" spans="2:4">
      <c r="B75" s="273" t="s">
        <v>68</v>
      </c>
      <c r="C75" s="274" t="s">
        <v>68</v>
      </c>
      <c r="D75" s="245" t="s">
        <v>68</v>
      </c>
    </row>
    <row r="76" spans="2:4">
      <c r="B76" s="273">
        <v>151</v>
      </c>
      <c r="C76" s="274" t="s">
        <v>113</v>
      </c>
      <c r="D76" s="245" t="s">
        <v>114</v>
      </c>
    </row>
    <row r="77" spans="2:4">
      <c r="B77" s="273">
        <v>152</v>
      </c>
      <c r="C77" s="274" t="s">
        <v>115</v>
      </c>
      <c r="D77" s="245" t="s">
        <v>114</v>
      </c>
    </row>
    <row r="78" spans="2:4">
      <c r="B78" s="273">
        <v>153</v>
      </c>
      <c r="C78" s="274" t="s">
        <v>116</v>
      </c>
      <c r="D78" s="245" t="s">
        <v>114</v>
      </c>
    </row>
    <row r="79" spans="2:4">
      <c r="B79" s="273">
        <v>154</v>
      </c>
      <c r="C79" s="274" t="s">
        <v>117</v>
      </c>
      <c r="D79" s="245" t="s">
        <v>114</v>
      </c>
    </row>
    <row r="80" spans="2:4">
      <c r="B80" s="273">
        <v>155</v>
      </c>
      <c r="C80" s="274" t="s">
        <v>118</v>
      </c>
      <c r="D80" s="245" t="s">
        <v>114</v>
      </c>
    </row>
    <row r="81" spans="2:4">
      <c r="B81" s="273">
        <v>156</v>
      </c>
      <c r="C81" s="274" t="s">
        <v>119</v>
      </c>
      <c r="D81" s="245" t="s">
        <v>114</v>
      </c>
    </row>
    <row r="82" spans="2:4">
      <c r="B82" s="273">
        <v>157</v>
      </c>
      <c r="C82" s="275"/>
      <c r="D82" s="245" t="s">
        <v>114</v>
      </c>
    </row>
    <row r="83" spans="2:4">
      <c r="B83" s="273">
        <v>158</v>
      </c>
      <c r="C83" s="275"/>
      <c r="D83" s="245" t="s">
        <v>114</v>
      </c>
    </row>
    <row r="84" spans="2:4">
      <c r="B84" s="273">
        <v>159</v>
      </c>
      <c r="C84" s="275"/>
      <c r="D84" s="245" t="s">
        <v>114</v>
      </c>
    </row>
    <row r="85" spans="2:4">
      <c r="B85" s="273">
        <v>160</v>
      </c>
      <c r="C85" s="275"/>
      <c r="D85" s="245" t="s">
        <v>114</v>
      </c>
    </row>
    <row r="86" spans="2:4">
      <c r="B86" s="273">
        <v>161</v>
      </c>
      <c r="C86" s="275"/>
      <c r="D86" s="245" t="s">
        <v>114</v>
      </c>
    </row>
    <row r="87" spans="2:4">
      <c r="B87" s="273">
        <v>162</v>
      </c>
      <c r="C87" s="275"/>
      <c r="D87" s="245" t="s">
        <v>114</v>
      </c>
    </row>
    <row r="88" spans="2:4">
      <c r="B88" s="273">
        <v>163</v>
      </c>
      <c r="C88" s="275"/>
      <c r="D88" s="245" t="s">
        <v>114</v>
      </c>
    </row>
    <row r="89" spans="2:4">
      <c r="B89" s="273">
        <v>164</v>
      </c>
      <c r="C89" s="274" t="s">
        <v>120</v>
      </c>
      <c r="D89" s="245" t="s">
        <v>121</v>
      </c>
    </row>
    <row r="90" spans="2:4">
      <c r="B90" s="273">
        <v>165</v>
      </c>
      <c r="C90" s="275"/>
      <c r="D90" s="245" t="s">
        <v>122</v>
      </c>
    </row>
    <row r="91" spans="2:4">
      <c r="B91" s="273">
        <v>166</v>
      </c>
      <c r="C91" s="275"/>
      <c r="D91" s="245" t="s">
        <v>122</v>
      </c>
    </row>
    <row r="92" spans="2:4">
      <c r="B92" s="273">
        <v>167</v>
      </c>
      <c r="C92" s="275"/>
      <c r="D92" s="245" t="s">
        <v>122</v>
      </c>
    </row>
    <row r="93" spans="2:4">
      <c r="B93" s="273">
        <v>168</v>
      </c>
      <c r="C93" s="275"/>
      <c r="D93" s="245" t="s">
        <v>122</v>
      </c>
    </row>
    <row r="94" spans="2:4">
      <c r="B94" s="273">
        <v>169</v>
      </c>
      <c r="C94" s="275"/>
      <c r="D94" s="245" t="s">
        <v>122</v>
      </c>
    </row>
    <row r="95" spans="2:4">
      <c r="B95" s="273">
        <v>170</v>
      </c>
      <c r="C95" s="275"/>
      <c r="D95" s="245" t="s">
        <v>122</v>
      </c>
    </row>
    <row r="96" spans="2:4">
      <c r="B96" s="273">
        <v>171</v>
      </c>
      <c r="C96" s="275"/>
      <c r="D96" s="245" t="s">
        <v>122</v>
      </c>
    </row>
    <row r="97" spans="2:4">
      <c r="B97" s="273">
        <v>172</v>
      </c>
      <c r="C97" s="274" t="s">
        <v>123</v>
      </c>
      <c r="D97" s="245" t="s">
        <v>114</v>
      </c>
    </row>
    <row r="98" spans="2:4">
      <c r="B98" s="273">
        <v>199</v>
      </c>
      <c r="C98" s="274" t="s">
        <v>124</v>
      </c>
      <c r="D98" s="245" t="s">
        <v>125</v>
      </c>
    </row>
    <row r="99" spans="2:4">
      <c r="B99" s="276"/>
      <c r="C99" s="277"/>
      <c r="D99" s="278"/>
    </row>
    <row r="100" spans="2:4">
      <c r="B100" s="273">
        <v>201</v>
      </c>
      <c r="C100" s="274" t="s">
        <v>126</v>
      </c>
      <c r="D100" s="245" t="s">
        <v>127</v>
      </c>
    </row>
    <row r="101" spans="2:4">
      <c r="B101" s="273">
        <v>202</v>
      </c>
      <c r="C101" s="274" t="s">
        <v>128</v>
      </c>
      <c r="D101" s="245" t="s">
        <v>127</v>
      </c>
    </row>
    <row r="102" spans="2:4">
      <c r="B102" s="273" t="s">
        <v>68</v>
      </c>
      <c r="C102" s="274" t="s">
        <v>68</v>
      </c>
      <c r="D102" s="245" t="s">
        <v>68</v>
      </c>
    </row>
    <row r="103" spans="2:4">
      <c r="B103" s="273">
        <v>204</v>
      </c>
      <c r="C103" s="274" t="s">
        <v>129</v>
      </c>
      <c r="D103" s="245" t="s">
        <v>130</v>
      </c>
    </row>
    <row r="104" spans="2:4">
      <c r="B104" s="273" t="s">
        <v>68</v>
      </c>
      <c r="C104" s="274" t="s">
        <v>68</v>
      </c>
      <c r="D104" s="245" t="s">
        <v>68</v>
      </c>
    </row>
    <row r="105" spans="2:4">
      <c r="B105" s="273">
        <v>206</v>
      </c>
      <c r="C105" s="274" t="s">
        <v>131</v>
      </c>
      <c r="D105" s="245" t="s">
        <v>132</v>
      </c>
    </row>
    <row r="106" spans="2:4">
      <c r="B106" s="273">
        <v>207</v>
      </c>
      <c r="C106" s="274" t="s">
        <v>133</v>
      </c>
      <c r="D106" s="245" t="s">
        <v>134</v>
      </c>
    </row>
    <row r="107" spans="2:4">
      <c r="B107" s="273">
        <v>208</v>
      </c>
      <c r="C107" s="274" t="s">
        <v>135</v>
      </c>
      <c r="D107" s="245" t="s">
        <v>134</v>
      </c>
    </row>
    <row r="108" spans="2:4">
      <c r="B108" s="273">
        <v>209</v>
      </c>
      <c r="C108" s="274" t="s">
        <v>136</v>
      </c>
      <c r="D108" s="245" t="s">
        <v>134</v>
      </c>
    </row>
    <row r="109" spans="2:4">
      <c r="B109" s="273">
        <v>210</v>
      </c>
      <c r="C109" s="274" t="s">
        <v>137</v>
      </c>
      <c r="D109" s="245" t="s">
        <v>134</v>
      </c>
    </row>
    <row r="110" spans="2:4">
      <c r="B110" s="273">
        <v>211</v>
      </c>
      <c r="C110" s="274" t="s">
        <v>138</v>
      </c>
      <c r="D110" s="245" t="s">
        <v>134</v>
      </c>
    </row>
    <row r="111" spans="2:4">
      <c r="B111" s="273">
        <v>212</v>
      </c>
      <c r="C111" s="275"/>
      <c r="D111" s="245" t="s">
        <v>134</v>
      </c>
    </row>
    <row r="112" spans="2:4">
      <c r="B112" s="273">
        <v>213</v>
      </c>
      <c r="C112" s="275"/>
      <c r="D112" s="245" t="s">
        <v>134</v>
      </c>
    </row>
    <row r="113" spans="2:4">
      <c r="B113" s="273">
        <v>214</v>
      </c>
      <c r="C113" s="275"/>
      <c r="D113" s="245" t="s">
        <v>134</v>
      </c>
    </row>
    <row r="114" spans="2:4">
      <c r="B114" s="273">
        <v>215</v>
      </c>
      <c r="C114" s="275"/>
      <c r="D114" s="245" t="s">
        <v>134</v>
      </c>
    </row>
    <row r="115" spans="2:4">
      <c r="B115" s="273">
        <v>216</v>
      </c>
      <c r="C115" s="275"/>
      <c r="D115" s="245" t="s">
        <v>134</v>
      </c>
    </row>
    <row r="116" spans="2:4">
      <c r="B116" s="273">
        <v>217</v>
      </c>
      <c r="C116" s="275"/>
      <c r="D116" s="245" t="s">
        <v>134</v>
      </c>
    </row>
    <row r="117" spans="2:4">
      <c r="B117" s="273">
        <v>218</v>
      </c>
      <c r="C117" s="275"/>
      <c r="D117" s="245" t="s">
        <v>134</v>
      </c>
    </row>
    <row r="118" spans="2:4">
      <c r="B118" s="273">
        <v>219</v>
      </c>
      <c r="C118" s="275"/>
      <c r="D118" s="245" t="s">
        <v>134</v>
      </c>
    </row>
    <row r="119" spans="2:4">
      <c r="B119" s="273">
        <v>220</v>
      </c>
      <c r="C119" s="274" t="s">
        <v>139</v>
      </c>
      <c r="D119" s="245" t="s">
        <v>134</v>
      </c>
    </row>
    <row r="120" spans="2:4">
      <c r="B120" s="273" t="s">
        <v>68</v>
      </c>
      <c r="C120" s="274" t="s">
        <v>68</v>
      </c>
      <c r="D120" s="245" t="s">
        <v>68</v>
      </c>
    </row>
    <row r="121" spans="2:4">
      <c r="B121" s="273" t="s">
        <v>68</v>
      </c>
      <c r="C121" s="274" t="s">
        <v>68</v>
      </c>
      <c r="D121" s="245" t="s">
        <v>68</v>
      </c>
    </row>
    <row r="122" spans="2:4">
      <c r="B122" s="273">
        <v>223</v>
      </c>
      <c r="C122" s="274" t="s">
        <v>140</v>
      </c>
      <c r="D122" s="245" t="s">
        <v>141</v>
      </c>
    </row>
    <row r="123" spans="2:4">
      <c r="B123" s="273" t="s">
        <v>68</v>
      </c>
      <c r="C123" s="274" t="s">
        <v>68</v>
      </c>
      <c r="D123" s="245" t="s">
        <v>68</v>
      </c>
    </row>
    <row r="124" spans="2:4">
      <c r="B124" s="273">
        <v>225</v>
      </c>
      <c r="C124" s="274" t="s">
        <v>142</v>
      </c>
      <c r="D124" s="245" t="s">
        <v>143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W138"/>
  <sheetViews>
    <sheetView zoomScale="115" zoomScaleNormal="115" workbookViewId="0">
      <pane ySplit="3" topLeftCell="A4" activePane="bottomLeft" state="frozen"/>
      <selection/>
      <selection pane="bottomLeft" activeCell="D6" sqref="D6"/>
    </sheetView>
  </sheetViews>
  <sheetFormatPr defaultColWidth="8.88888888888889" defaultRowHeight="16.2"/>
  <cols>
    <col min="1" max="1" width="2.66666666666667" style="1" customWidth="1"/>
    <col min="2" max="2" width="7.88888888888889" style="226" customWidth="1"/>
    <col min="3" max="3" width="12.1111111111111" style="1"/>
    <col min="4" max="4" width="12.287037037037" style="227" customWidth="1"/>
    <col min="5" max="5" width="12.5555555555556" style="1" customWidth="1"/>
    <col min="6" max="6" width="38.7777777777778" style="226" customWidth="1"/>
    <col min="7" max="7" width="12.2222222222222" style="227" customWidth="1"/>
    <col min="8" max="8" width="17.2222222222222" style="1" customWidth="1"/>
    <col min="9" max="9" width="30.6666666666667" style="226" customWidth="1"/>
    <col min="10" max="10" width="32" style="226" customWidth="1"/>
    <col min="11" max="11" width="19.2222222222222" style="226" customWidth="1"/>
    <col min="12" max="16384" width="8.88888888888889" style="1"/>
  </cols>
  <sheetData>
    <row r="2" ht="22.35" spans="8:10">
      <c r="H2" s="228" t="s">
        <v>144</v>
      </c>
      <c r="I2" s="240" t="s">
        <v>144</v>
      </c>
      <c r="J2" s="240" t="s">
        <v>144</v>
      </c>
    </row>
    <row r="3" ht="32.4" spans="2:21">
      <c r="B3" s="229" t="s">
        <v>145</v>
      </c>
      <c r="C3" s="230" t="s">
        <v>146</v>
      </c>
      <c r="D3" s="231" t="s">
        <v>147</v>
      </c>
      <c r="E3" s="232" t="s">
        <v>148</v>
      </c>
      <c r="F3" s="233" t="s">
        <v>149</v>
      </c>
      <c r="G3" s="231" t="s">
        <v>150</v>
      </c>
      <c r="H3" s="232" t="s">
        <v>151</v>
      </c>
      <c r="I3" s="233" t="s">
        <v>152</v>
      </c>
      <c r="J3" s="233" t="s">
        <v>153</v>
      </c>
      <c r="K3" s="241" t="s">
        <v>154</v>
      </c>
      <c r="M3" s="242" t="s">
        <v>155</v>
      </c>
      <c r="N3" s="243"/>
      <c r="O3" s="244"/>
      <c r="P3" s="244"/>
      <c r="Q3" s="244"/>
      <c r="R3" s="244"/>
      <c r="S3" s="244"/>
      <c r="T3" s="244"/>
      <c r="U3" s="254"/>
    </row>
    <row r="4" spans="2:21">
      <c r="B4" s="234">
        <v>1</v>
      </c>
      <c r="C4" s="235"/>
      <c r="D4" s="236"/>
      <c r="E4" s="237"/>
      <c r="F4" s="238"/>
      <c r="G4" s="236"/>
      <c r="H4" s="2">
        <f>E4</f>
        <v>0</v>
      </c>
      <c r="I4" s="245" t="str">
        <f>IFERROR(VLOOKUP(D4,勘定科目!$B$2:$D$124,2,FALSE),"")</f>
        <v/>
      </c>
      <c r="J4" s="245" t="str">
        <f>IFERROR(VLOOKUP(G4,勘定科目!$B$2:$D$124,2,FALSE),"")</f>
        <v/>
      </c>
      <c r="K4" s="246"/>
      <c r="M4" s="247"/>
      <c r="N4" s="248"/>
      <c r="U4" s="255"/>
    </row>
    <row r="5" spans="2:21">
      <c r="B5" s="234">
        <v>2</v>
      </c>
      <c r="C5" s="235"/>
      <c r="D5" s="236"/>
      <c r="E5" s="237"/>
      <c r="F5" s="238"/>
      <c r="G5" s="236"/>
      <c r="H5" s="2">
        <f t="shared" ref="H5:H23" si="0">E5</f>
        <v>0</v>
      </c>
      <c r="I5" s="245" t="str">
        <f>IFERROR(VLOOKUP(D5,勘定科目!$B$2:$D$124,2,FALSE),"")</f>
        <v/>
      </c>
      <c r="J5" s="245" t="str">
        <f>IFERROR(VLOOKUP(G5,勘定科目!$B$2:$D$124,2,FALSE),"")</f>
        <v/>
      </c>
      <c r="K5" s="246"/>
      <c r="M5" s="249"/>
      <c r="U5" s="255"/>
    </row>
    <row r="6" spans="2:21">
      <c r="B6" s="234">
        <v>3</v>
      </c>
      <c r="C6" s="235"/>
      <c r="D6" s="236"/>
      <c r="E6" s="237"/>
      <c r="F6" s="238"/>
      <c r="G6" s="236"/>
      <c r="H6" s="2">
        <f t="shared" si="0"/>
        <v>0</v>
      </c>
      <c r="I6" s="245" t="str">
        <f>IFERROR(VLOOKUP(D6,勘定科目!$B$2:$D$124,2,FALSE),"")</f>
        <v/>
      </c>
      <c r="J6" s="245" t="str">
        <f>IFERROR(VLOOKUP(G6,勘定科目!$B$2:$D$124,2,FALSE),"")</f>
        <v/>
      </c>
      <c r="K6" s="246"/>
      <c r="M6" s="249"/>
      <c r="U6" s="255"/>
    </row>
    <row r="7" spans="2:21">
      <c r="B7" s="234">
        <v>4</v>
      </c>
      <c r="C7" s="235"/>
      <c r="D7" s="236"/>
      <c r="E7" s="237"/>
      <c r="F7" s="238"/>
      <c r="G7" s="236"/>
      <c r="H7" s="2">
        <f t="shared" si="0"/>
        <v>0</v>
      </c>
      <c r="I7" s="245" t="str">
        <f>IFERROR(VLOOKUP(D7,勘定科目!$B$2:$D$124,2,FALSE),"")</f>
        <v/>
      </c>
      <c r="J7" s="245" t="str">
        <f>IFERROR(VLOOKUP(G7,勘定科目!$B$2:$D$124,2,FALSE),"")</f>
        <v/>
      </c>
      <c r="K7" s="246"/>
      <c r="M7" s="249"/>
      <c r="U7" s="255"/>
    </row>
    <row r="8" spans="2:21">
      <c r="B8" s="239">
        <v>5</v>
      </c>
      <c r="C8" s="235"/>
      <c r="D8" s="236"/>
      <c r="E8" s="237"/>
      <c r="F8" s="238"/>
      <c r="G8" s="236"/>
      <c r="H8" s="2">
        <f t="shared" si="0"/>
        <v>0</v>
      </c>
      <c r="I8" s="245" t="str">
        <f>IFERROR(VLOOKUP(D8,勘定科目!$B$2:$D$124,2,FALSE),"")</f>
        <v/>
      </c>
      <c r="J8" s="245" t="str">
        <f>IFERROR(VLOOKUP(G8,勘定科目!$B$2:$D$124,2,FALSE),"")</f>
        <v/>
      </c>
      <c r="K8" s="246"/>
      <c r="M8" s="249"/>
      <c r="U8" s="255"/>
    </row>
    <row r="9" spans="2:21">
      <c r="B9" s="239">
        <v>6</v>
      </c>
      <c r="C9" s="235"/>
      <c r="D9" s="236"/>
      <c r="E9" s="237"/>
      <c r="F9" s="238"/>
      <c r="G9" s="236"/>
      <c r="H9" s="2">
        <f t="shared" si="0"/>
        <v>0</v>
      </c>
      <c r="I9" s="245" t="str">
        <f>IFERROR(VLOOKUP(D9,勘定科目!$B$2:$D$124,2,FALSE),"")</f>
        <v/>
      </c>
      <c r="J9" s="245" t="str">
        <f>IFERROR(VLOOKUP(G9,勘定科目!$B$2:$D$124,2,FALSE),"")</f>
        <v/>
      </c>
      <c r="K9" s="246"/>
      <c r="M9" s="249"/>
      <c r="U9" s="255"/>
    </row>
    <row r="10" spans="2:21">
      <c r="B10" s="239">
        <v>7</v>
      </c>
      <c r="C10" s="235"/>
      <c r="D10" s="236"/>
      <c r="E10" s="237"/>
      <c r="F10" s="238"/>
      <c r="G10" s="236"/>
      <c r="H10" s="2">
        <f t="shared" si="0"/>
        <v>0</v>
      </c>
      <c r="I10" s="245" t="str">
        <f>IFERROR(VLOOKUP(D10,勘定科目!$B$2:$D$124,2,FALSE),"")</f>
        <v/>
      </c>
      <c r="J10" s="245" t="str">
        <f>IFERROR(VLOOKUP(G10,勘定科目!$B$2:$D$124,2,FALSE),"")</f>
        <v/>
      </c>
      <c r="K10" s="246"/>
      <c r="M10" s="249"/>
      <c r="U10" s="255"/>
    </row>
    <row r="11" spans="2:21">
      <c r="B11" s="239">
        <v>8</v>
      </c>
      <c r="C11" s="235"/>
      <c r="D11" s="236"/>
      <c r="E11" s="237"/>
      <c r="F11" s="238"/>
      <c r="G11" s="236"/>
      <c r="H11" s="2">
        <f t="shared" si="0"/>
        <v>0</v>
      </c>
      <c r="I11" s="245" t="str">
        <f>IFERROR(VLOOKUP(D11,勘定科目!$B$2:$D$124,2,FALSE),"")</f>
        <v/>
      </c>
      <c r="J11" s="245" t="str">
        <f>IFERROR(VLOOKUP(G11,勘定科目!$B$2:$D$124,2,FALSE),"")</f>
        <v/>
      </c>
      <c r="K11" s="246"/>
      <c r="M11" s="249"/>
      <c r="U11" s="255"/>
    </row>
    <row r="12" spans="2:21">
      <c r="B12" s="239">
        <v>9</v>
      </c>
      <c r="C12" s="235"/>
      <c r="D12" s="236"/>
      <c r="E12" s="237"/>
      <c r="F12" s="238"/>
      <c r="G12" s="236"/>
      <c r="H12" s="2">
        <f t="shared" si="0"/>
        <v>0</v>
      </c>
      <c r="I12" s="245" t="str">
        <f>IFERROR(VLOOKUP(D12,勘定科目!$B$2:$D$124,2,FALSE),"")</f>
        <v/>
      </c>
      <c r="J12" s="245" t="str">
        <f>IFERROR(VLOOKUP(G12,勘定科目!$B$2:$D$124,2,FALSE),"")</f>
        <v/>
      </c>
      <c r="K12" s="246"/>
      <c r="M12" s="249"/>
      <c r="U12" s="255"/>
    </row>
    <row r="13" spans="2:21">
      <c r="B13" s="239">
        <v>10</v>
      </c>
      <c r="C13" s="235"/>
      <c r="D13" s="236"/>
      <c r="E13" s="237"/>
      <c r="F13" s="238"/>
      <c r="G13" s="236"/>
      <c r="H13" s="2">
        <f t="shared" si="0"/>
        <v>0</v>
      </c>
      <c r="I13" s="245" t="str">
        <f>IFERROR(VLOOKUP(D13,勘定科目!$B$2:$D$124,2,FALSE),"")</f>
        <v/>
      </c>
      <c r="J13" s="245" t="str">
        <f>IFERROR(VLOOKUP(G13,勘定科目!$B$2:$D$124,2,FALSE),"")</f>
        <v/>
      </c>
      <c r="K13" s="246"/>
      <c r="M13" s="249"/>
      <c r="U13" s="255"/>
    </row>
    <row r="14" spans="2:21">
      <c r="B14" s="239">
        <v>11</v>
      </c>
      <c r="C14" s="235"/>
      <c r="D14" s="236"/>
      <c r="E14" s="237"/>
      <c r="F14" s="238"/>
      <c r="G14" s="236"/>
      <c r="H14" s="2">
        <f t="shared" si="0"/>
        <v>0</v>
      </c>
      <c r="I14" s="245" t="str">
        <f>IFERROR(VLOOKUP(D14,勘定科目!$B$2:$D$124,2,FALSE),"")</f>
        <v/>
      </c>
      <c r="J14" s="245" t="str">
        <f>IFERROR(VLOOKUP(G14,勘定科目!$B$2:$D$124,2,FALSE),"")</f>
        <v/>
      </c>
      <c r="K14" s="246"/>
      <c r="M14" s="249"/>
      <c r="U14" s="255"/>
    </row>
    <row r="15" spans="2:21">
      <c r="B15" s="239">
        <v>12</v>
      </c>
      <c r="C15" s="235"/>
      <c r="D15" s="236"/>
      <c r="E15" s="237"/>
      <c r="F15" s="238"/>
      <c r="G15" s="236"/>
      <c r="H15" s="2">
        <f t="shared" si="0"/>
        <v>0</v>
      </c>
      <c r="I15" s="245" t="str">
        <f>IFERROR(VLOOKUP(D15,勘定科目!$B$2:$D$124,2,FALSE),"")</f>
        <v/>
      </c>
      <c r="J15" s="245" t="str">
        <f>IFERROR(VLOOKUP(G15,勘定科目!$B$2:$D$124,2,FALSE),"")</f>
        <v/>
      </c>
      <c r="K15" s="246"/>
      <c r="M15" s="249"/>
      <c r="U15" s="255"/>
    </row>
    <row r="16" spans="2:21">
      <c r="B16" s="234">
        <v>13</v>
      </c>
      <c r="C16" s="235"/>
      <c r="D16" s="236"/>
      <c r="E16" s="237"/>
      <c r="F16" s="238"/>
      <c r="G16" s="236"/>
      <c r="H16" s="2">
        <f t="shared" si="0"/>
        <v>0</v>
      </c>
      <c r="I16" s="245" t="str">
        <f>IFERROR(VLOOKUP(D16,勘定科目!$B$2:$D$124,2,FALSE),"")</f>
        <v/>
      </c>
      <c r="J16" s="245" t="str">
        <f>IFERROR(VLOOKUP(G16,勘定科目!$B$2:$D$124,2,FALSE),"")</f>
        <v/>
      </c>
      <c r="K16" s="246"/>
      <c r="M16" s="249"/>
      <c r="U16" s="255"/>
    </row>
    <row r="17" spans="2:21">
      <c r="B17" s="234">
        <v>14</v>
      </c>
      <c r="C17" s="235"/>
      <c r="D17" s="236"/>
      <c r="E17" s="237"/>
      <c r="F17" s="238"/>
      <c r="G17" s="236"/>
      <c r="H17" s="2">
        <f t="shared" si="0"/>
        <v>0</v>
      </c>
      <c r="I17" s="245" t="str">
        <f>IFERROR(VLOOKUP(D17,勘定科目!$B$2:$D$124,2,FALSE),"")</f>
        <v/>
      </c>
      <c r="J17" s="245" t="str">
        <f>IFERROR(VLOOKUP(G17,勘定科目!$B$2:$D$124,2,FALSE),"")</f>
        <v/>
      </c>
      <c r="K17" s="246"/>
      <c r="M17" s="249"/>
      <c r="U17" s="255"/>
    </row>
    <row r="18" spans="2:21">
      <c r="B18" s="234">
        <v>15</v>
      </c>
      <c r="C18" s="235"/>
      <c r="D18" s="236"/>
      <c r="E18" s="237"/>
      <c r="F18" s="238"/>
      <c r="G18" s="236"/>
      <c r="H18" s="2">
        <f t="shared" si="0"/>
        <v>0</v>
      </c>
      <c r="I18" s="245" t="str">
        <f>IFERROR(VLOOKUP(D18,勘定科目!$B$2:$D$124,2,FALSE),"")</f>
        <v/>
      </c>
      <c r="J18" s="245" t="str">
        <f>IFERROR(VLOOKUP(G18,勘定科目!$B$2:$D$124,2,FALSE),"")</f>
        <v/>
      </c>
      <c r="K18" s="246"/>
      <c r="M18" s="249"/>
      <c r="U18" s="255"/>
    </row>
    <row r="19" spans="2:21">
      <c r="B19" s="234">
        <v>16</v>
      </c>
      <c r="C19" s="235"/>
      <c r="D19" s="236"/>
      <c r="E19" s="237"/>
      <c r="F19" s="238"/>
      <c r="G19" s="236"/>
      <c r="H19" s="2">
        <f t="shared" si="0"/>
        <v>0</v>
      </c>
      <c r="I19" s="245" t="str">
        <f>IFERROR(VLOOKUP(D19,勘定科目!$B$2:$D$124,2,FALSE),"")</f>
        <v/>
      </c>
      <c r="J19" s="245" t="str">
        <f>IFERROR(VLOOKUP(G19,勘定科目!$B$2:$D$124,2,FALSE),"")</f>
        <v/>
      </c>
      <c r="K19" s="246"/>
      <c r="M19" s="249"/>
      <c r="U19" s="255"/>
    </row>
    <row r="20" spans="2:21">
      <c r="B20" s="234">
        <v>17</v>
      </c>
      <c r="C20" s="235"/>
      <c r="D20" s="236"/>
      <c r="E20" s="237"/>
      <c r="F20" s="238"/>
      <c r="G20" s="236"/>
      <c r="H20" s="2">
        <f t="shared" si="0"/>
        <v>0</v>
      </c>
      <c r="I20" s="245" t="str">
        <f>IFERROR(VLOOKUP(D20,勘定科目!$B$2:$D$124,2,FALSE),"")</f>
        <v/>
      </c>
      <c r="J20" s="245" t="str">
        <f>IFERROR(VLOOKUP(G20,勘定科目!$B$2:$D$124,2,FALSE),"")</f>
        <v/>
      </c>
      <c r="K20" s="246"/>
      <c r="M20" s="249"/>
      <c r="U20" s="255"/>
    </row>
    <row r="21" spans="2:21">
      <c r="B21" s="234">
        <v>18</v>
      </c>
      <c r="C21" s="235"/>
      <c r="D21" s="236"/>
      <c r="E21" s="237"/>
      <c r="F21" s="238"/>
      <c r="G21" s="236"/>
      <c r="H21" s="2">
        <f t="shared" si="0"/>
        <v>0</v>
      </c>
      <c r="I21" s="245" t="str">
        <f>IFERROR(VLOOKUP(D21,勘定科目!$B$2:$D$124,2,FALSE),"")</f>
        <v/>
      </c>
      <c r="J21" s="245" t="str">
        <f>IFERROR(VLOOKUP(G21,勘定科目!$B$2:$D$124,2,FALSE),"")</f>
        <v/>
      </c>
      <c r="K21" s="246"/>
      <c r="M21" s="249"/>
      <c r="U21" s="255"/>
    </row>
    <row r="22" spans="2:23">
      <c r="B22" s="234">
        <v>19</v>
      </c>
      <c r="C22" s="235"/>
      <c r="D22" s="236"/>
      <c r="E22" s="237"/>
      <c r="F22" s="238"/>
      <c r="G22" s="236"/>
      <c r="H22" s="2">
        <f t="shared" si="0"/>
        <v>0</v>
      </c>
      <c r="I22" s="245" t="str">
        <f>IFERROR(VLOOKUP(D22,勘定科目!$B$2:$D$124,2,FALSE),"")</f>
        <v/>
      </c>
      <c r="J22" s="245" t="str">
        <f>IFERROR(VLOOKUP(G22,勘定科目!$B$2:$D$124,2,FALSE),"")</f>
        <v/>
      </c>
      <c r="K22" s="246"/>
      <c r="M22" s="249"/>
      <c r="N22" s="250"/>
      <c r="O22" s="250"/>
      <c r="P22" s="250"/>
      <c r="Q22" s="250"/>
      <c r="R22" s="250"/>
      <c r="S22" s="250"/>
      <c r="T22" s="250"/>
      <c r="U22" s="255"/>
      <c r="V22" s="256"/>
      <c r="W22" s="256"/>
    </row>
    <row r="23" spans="2:23">
      <c r="B23" s="234">
        <v>20</v>
      </c>
      <c r="C23" s="235"/>
      <c r="D23" s="238"/>
      <c r="E23" s="237"/>
      <c r="F23" s="238"/>
      <c r="G23" s="238"/>
      <c r="H23" s="2">
        <f t="shared" si="0"/>
        <v>0</v>
      </c>
      <c r="I23" s="245" t="str">
        <f>IFERROR(VLOOKUP(D23,勘定科目!$B$2:$D$124,2,FALSE),"")</f>
        <v/>
      </c>
      <c r="J23" s="245" t="str">
        <f>IFERROR(VLOOKUP(G23,勘定科目!$B$2:$D$124,2,FALSE),"")</f>
        <v/>
      </c>
      <c r="K23" s="246"/>
      <c r="M23" s="249"/>
      <c r="N23" s="251"/>
      <c r="O23" s="252"/>
      <c r="P23" s="253"/>
      <c r="Q23" s="250"/>
      <c r="R23" s="250"/>
      <c r="S23" s="250"/>
      <c r="T23" s="253"/>
      <c r="U23" s="255"/>
      <c r="V23" s="251"/>
      <c r="W23" s="250"/>
    </row>
    <row r="24" spans="2:23">
      <c r="B24" s="234">
        <v>21</v>
      </c>
      <c r="C24" s="235"/>
      <c r="D24" s="238"/>
      <c r="E24" s="237"/>
      <c r="F24" s="238"/>
      <c r="G24" s="238"/>
      <c r="H24" s="2">
        <f t="shared" ref="H24:H55" si="1">E24</f>
        <v>0</v>
      </c>
      <c r="I24" s="245" t="str">
        <f>IFERROR(VLOOKUP(D24,勘定科目!$B$2:$D$124,2,FALSE),"")</f>
        <v/>
      </c>
      <c r="J24" s="245" t="str">
        <f>IFERROR(VLOOKUP(G24,勘定科目!$B$2:$D$124,2,FALSE),"")</f>
        <v/>
      </c>
      <c r="K24" s="246"/>
      <c r="M24" s="249"/>
      <c r="N24" s="250"/>
      <c r="O24" s="250"/>
      <c r="P24" s="250"/>
      <c r="Q24" s="250"/>
      <c r="R24" s="250"/>
      <c r="S24" s="250"/>
      <c r="T24" s="250"/>
      <c r="U24" s="255"/>
      <c r="V24" s="256"/>
      <c r="W24" s="256"/>
    </row>
    <row r="25" spans="2:21">
      <c r="B25" s="234">
        <v>22</v>
      </c>
      <c r="C25" s="235"/>
      <c r="D25" s="238"/>
      <c r="E25" s="237"/>
      <c r="F25" s="238"/>
      <c r="G25" s="238"/>
      <c r="H25" s="2">
        <f t="shared" si="1"/>
        <v>0</v>
      </c>
      <c r="I25" s="245" t="str">
        <f>IFERROR(VLOOKUP(D25,勘定科目!$B$2:$D$124,2,FALSE),"")</f>
        <v/>
      </c>
      <c r="J25" s="245" t="str">
        <f>IFERROR(VLOOKUP(G25,勘定科目!$B$2:$D$124,2,FALSE),"")</f>
        <v/>
      </c>
      <c r="K25" s="246"/>
      <c r="M25" s="249"/>
      <c r="U25" s="255"/>
    </row>
    <row r="26" spans="2:21">
      <c r="B26" s="234">
        <v>23</v>
      </c>
      <c r="C26" s="235"/>
      <c r="D26" s="236"/>
      <c r="E26" s="237"/>
      <c r="F26" s="238"/>
      <c r="G26" s="236"/>
      <c r="H26" s="2">
        <f t="shared" si="1"/>
        <v>0</v>
      </c>
      <c r="I26" s="245" t="str">
        <f>IFERROR(VLOOKUP(D26,勘定科目!$B$2:$D$124,2,FALSE),"")</f>
        <v/>
      </c>
      <c r="J26" s="245" t="str">
        <f>IFERROR(VLOOKUP(G26,勘定科目!$B$2:$D$124,2,FALSE),"")</f>
        <v/>
      </c>
      <c r="K26" s="246"/>
      <c r="M26" s="249"/>
      <c r="U26" s="255"/>
    </row>
    <row r="27" spans="2:21">
      <c r="B27" s="234">
        <v>24</v>
      </c>
      <c r="C27" s="235"/>
      <c r="D27" s="236"/>
      <c r="E27" s="237"/>
      <c r="F27" s="238"/>
      <c r="G27" s="236"/>
      <c r="H27" s="2">
        <f t="shared" si="1"/>
        <v>0</v>
      </c>
      <c r="I27" s="245" t="str">
        <f>IFERROR(VLOOKUP(D27,勘定科目!$B$2:$D$124,2,FALSE),"")</f>
        <v/>
      </c>
      <c r="J27" s="245" t="str">
        <f>IFERROR(VLOOKUP(G27,勘定科目!$B$2:$D$124,2,FALSE),"")</f>
        <v/>
      </c>
      <c r="K27" s="246"/>
      <c r="M27" s="249"/>
      <c r="U27" s="255"/>
    </row>
    <row r="28" spans="2:21">
      <c r="B28" s="234">
        <v>25</v>
      </c>
      <c r="C28" s="235"/>
      <c r="D28" s="236"/>
      <c r="E28" s="237"/>
      <c r="F28" s="238"/>
      <c r="G28" s="236"/>
      <c r="H28" s="2">
        <f t="shared" si="1"/>
        <v>0</v>
      </c>
      <c r="I28" s="245" t="str">
        <f>IFERROR(VLOOKUP(D28,勘定科目!$B$2:$D$124,2,FALSE),"")</f>
        <v/>
      </c>
      <c r="J28" s="245" t="str">
        <f>IFERROR(VLOOKUP(G28,勘定科目!$B$2:$D$124,2,FALSE),"")</f>
        <v/>
      </c>
      <c r="K28" s="246"/>
      <c r="M28" s="249"/>
      <c r="U28" s="255"/>
    </row>
    <row r="29" spans="2:21">
      <c r="B29" s="234">
        <v>26</v>
      </c>
      <c r="C29" s="235"/>
      <c r="D29" s="236"/>
      <c r="E29" s="237"/>
      <c r="F29" s="238"/>
      <c r="G29" s="236"/>
      <c r="H29" s="2">
        <f t="shared" si="1"/>
        <v>0</v>
      </c>
      <c r="I29" s="245" t="str">
        <f>IFERROR(VLOOKUP(D29,勘定科目!$B$2:$D$124,2,FALSE),"")</f>
        <v/>
      </c>
      <c r="J29" s="245" t="str">
        <f>IFERROR(VLOOKUP(G29,勘定科目!$B$2:$D$124,2,FALSE),"")</f>
        <v/>
      </c>
      <c r="K29" s="246"/>
      <c r="M29" s="249"/>
      <c r="U29" s="255"/>
    </row>
    <row r="30" spans="2:21">
      <c r="B30" s="234">
        <v>27</v>
      </c>
      <c r="C30" s="235"/>
      <c r="D30" s="236"/>
      <c r="E30" s="237"/>
      <c r="F30" s="238"/>
      <c r="G30" s="236"/>
      <c r="H30" s="2">
        <f t="shared" si="1"/>
        <v>0</v>
      </c>
      <c r="I30" s="245" t="str">
        <f>IFERROR(VLOOKUP(D30,勘定科目!$B$2:$D$124,2,FALSE),"")</f>
        <v/>
      </c>
      <c r="J30" s="245" t="str">
        <f>IFERROR(VLOOKUP(G30,勘定科目!$B$2:$D$124,2,FALSE),"")</f>
        <v/>
      </c>
      <c r="K30" s="246"/>
      <c r="M30" s="249"/>
      <c r="U30" s="255"/>
    </row>
    <row r="31" spans="2:21">
      <c r="B31" s="234">
        <v>28</v>
      </c>
      <c r="C31" s="235"/>
      <c r="D31" s="236"/>
      <c r="E31" s="237"/>
      <c r="F31" s="238"/>
      <c r="G31" s="236"/>
      <c r="H31" s="2">
        <f t="shared" si="1"/>
        <v>0</v>
      </c>
      <c r="I31" s="245" t="str">
        <f>IFERROR(VLOOKUP(D31,勘定科目!$B$2:$D$124,2,FALSE),"")</f>
        <v/>
      </c>
      <c r="J31" s="245" t="str">
        <f>IFERROR(VLOOKUP(G31,勘定科目!$B$2:$D$124,2,FALSE),"")</f>
        <v/>
      </c>
      <c r="K31" s="246"/>
      <c r="M31" s="249"/>
      <c r="U31" s="255"/>
    </row>
    <row r="32" spans="2:21">
      <c r="B32" s="234">
        <v>29</v>
      </c>
      <c r="C32" s="235"/>
      <c r="D32" s="236"/>
      <c r="E32" s="237"/>
      <c r="F32" s="238"/>
      <c r="G32" s="236"/>
      <c r="H32" s="2">
        <f t="shared" si="1"/>
        <v>0</v>
      </c>
      <c r="I32" s="245" t="str">
        <f>IFERROR(VLOOKUP(D32,勘定科目!$B$2:$D$124,2,FALSE),"")</f>
        <v/>
      </c>
      <c r="J32" s="245" t="str">
        <f>IFERROR(VLOOKUP(G32,勘定科目!$B$2:$D$124,2,FALSE),"")</f>
        <v/>
      </c>
      <c r="K32" s="246"/>
      <c r="M32" s="249"/>
      <c r="U32" s="255"/>
    </row>
    <row r="33" spans="2:21">
      <c r="B33" s="234">
        <v>30</v>
      </c>
      <c r="C33" s="235"/>
      <c r="D33" s="236"/>
      <c r="E33" s="237"/>
      <c r="F33" s="238"/>
      <c r="G33" s="236"/>
      <c r="H33" s="2">
        <f t="shared" si="1"/>
        <v>0</v>
      </c>
      <c r="I33" s="245" t="str">
        <f>IFERROR(VLOOKUP(D33,勘定科目!$B$2:$D$124,2,FALSE),"")</f>
        <v/>
      </c>
      <c r="J33" s="245" t="str">
        <f>IFERROR(VLOOKUP(G33,勘定科目!$B$2:$D$124,2,FALSE),"")</f>
        <v/>
      </c>
      <c r="K33" s="246"/>
      <c r="M33" s="249"/>
      <c r="U33" s="255"/>
    </row>
    <row r="34" spans="2:21">
      <c r="B34" s="234">
        <v>31</v>
      </c>
      <c r="C34" s="235"/>
      <c r="D34" s="236"/>
      <c r="E34" s="237"/>
      <c r="F34" s="238"/>
      <c r="G34" s="236"/>
      <c r="H34" s="2">
        <f t="shared" si="1"/>
        <v>0</v>
      </c>
      <c r="I34" s="245" t="str">
        <f>IFERROR(VLOOKUP(D34,勘定科目!$B$2:$D$124,2,FALSE),"")</f>
        <v/>
      </c>
      <c r="J34" s="245" t="str">
        <f>IFERROR(VLOOKUP(G34,勘定科目!$B$2:$D$124,2,FALSE),"")</f>
        <v/>
      </c>
      <c r="K34" s="246"/>
      <c r="M34" s="249"/>
      <c r="U34" s="255"/>
    </row>
    <row r="35" spans="2:21">
      <c r="B35" s="234">
        <v>32</v>
      </c>
      <c r="C35" s="235"/>
      <c r="D35" s="236"/>
      <c r="E35" s="237"/>
      <c r="F35" s="238"/>
      <c r="G35" s="236"/>
      <c r="H35" s="2">
        <f t="shared" si="1"/>
        <v>0</v>
      </c>
      <c r="I35" s="245" t="str">
        <f>IFERROR(VLOOKUP(D35,勘定科目!$B$2:$D$124,2,FALSE),"")</f>
        <v/>
      </c>
      <c r="J35" s="245" t="str">
        <f>IFERROR(VLOOKUP(G35,勘定科目!$B$2:$D$124,2,FALSE),"")</f>
        <v/>
      </c>
      <c r="K35" s="246"/>
      <c r="M35" s="249"/>
      <c r="U35" s="255"/>
    </row>
    <row r="36" spans="2:21">
      <c r="B36" s="234">
        <v>33</v>
      </c>
      <c r="C36" s="235"/>
      <c r="D36" s="236"/>
      <c r="E36" s="237"/>
      <c r="F36" s="238"/>
      <c r="G36" s="236"/>
      <c r="H36" s="2">
        <f t="shared" si="1"/>
        <v>0</v>
      </c>
      <c r="I36" s="245" t="str">
        <f>IFERROR(VLOOKUP(D36,勘定科目!$B$2:$D$124,2,FALSE),"")</f>
        <v/>
      </c>
      <c r="J36" s="245" t="str">
        <f>IFERROR(VLOOKUP(G36,勘定科目!$B$2:$D$124,2,FALSE),"")</f>
        <v/>
      </c>
      <c r="K36" s="246"/>
      <c r="M36" s="249"/>
      <c r="U36" s="255"/>
    </row>
    <row r="37" spans="2:21">
      <c r="B37" s="234">
        <v>34</v>
      </c>
      <c r="C37" s="235"/>
      <c r="D37" s="236"/>
      <c r="E37" s="237"/>
      <c r="F37" s="238"/>
      <c r="G37" s="236"/>
      <c r="H37" s="2">
        <f t="shared" si="1"/>
        <v>0</v>
      </c>
      <c r="I37" s="245" t="str">
        <f>IFERROR(VLOOKUP(D37,勘定科目!$B$2:$D$124,2,FALSE),"")</f>
        <v/>
      </c>
      <c r="J37" s="245" t="str">
        <f>IFERROR(VLOOKUP(G37,勘定科目!$B$2:$D$124,2,FALSE),"")</f>
        <v/>
      </c>
      <c r="K37" s="246"/>
      <c r="M37" s="249"/>
      <c r="U37" s="255"/>
    </row>
    <row r="38" spans="2:21">
      <c r="B38" s="234">
        <v>35</v>
      </c>
      <c r="C38" s="235"/>
      <c r="D38" s="236"/>
      <c r="E38" s="237"/>
      <c r="F38" s="238"/>
      <c r="G38" s="236"/>
      <c r="H38" s="2">
        <f t="shared" si="1"/>
        <v>0</v>
      </c>
      <c r="I38" s="245" t="str">
        <f>IFERROR(VLOOKUP(D38,勘定科目!$B$2:$D$124,2,FALSE),"")</f>
        <v/>
      </c>
      <c r="J38" s="245" t="str">
        <f>IFERROR(VLOOKUP(G38,勘定科目!$B$2:$D$124,2,FALSE),"")</f>
        <v/>
      </c>
      <c r="K38" s="246"/>
      <c r="M38" s="249"/>
      <c r="U38" s="255"/>
    </row>
    <row r="39" spans="2:21">
      <c r="B39" s="234">
        <v>36</v>
      </c>
      <c r="C39" s="235"/>
      <c r="D39" s="236"/>
      <c r="E39" s="237"/>
      <c r="F39" s="238"/>
      <c r="G39" s="236"/>
      <c r="H39" s="2">
        <f t="shared" si="1"/>
        <v>0</v>
      </c>
      <c r="I39" s="245" t="str">
        <f>IFERROR(VLOOKUP(D39,勘定科目!$B$2:$D$124,2,FALSE),"")</f>
        <v/>
      </c>
      <c r="J39" s="245" t="str">
        <f>IFERROR(VLOOKUP(G39,勘定科目!$B$2:$D$124,2,FALSE),"")</f>
        <v/>
      </c>
      <c r="K39" s="246"/>
      <c r="M39" s="249"/>
      <c r="U39" s="255"/>
    </row>
    <row r="40" spans="2:21">
      <c r="B40" s="234">
        <v>37</v>
      </c>
      <c r="C40" s="235"/>
      <c r="D40" s="236"/>
      <c r="E40" s="237"/>
      <c r="F40" s="238"/>
      <c r="G40" s="236"/>
      <c r="H40" s="2">
        <f t="shared" si="1"/>
        <v>0</v>
      </c>
      <c r="I40" s="245" t="str">
        <f>IFERROR(VLOOKUP(D40,勘定科目!$B$2:$D$124,2,FALSE),"")</f>
        <v/>
      </c>
      <c r="J40" s="245" t="str">
        <f>IFERROR(VLOOKUP(G40,勘定科目!$B$2:$D$124,2,FALSE),"")</f>
        <v/>
      </c>
      <c r="K40" s="246"/>
      <c r="M40" s="249"/>
      <c r="U40" s="255"/>
    </row>
    <row r="41" spans="2:21">
      <c r="B41" s="234">
        <v>38</v>
      </c>
      <c r="C41" s="235"/>
      <c r="D41" s="236"/>
      <c r="E41" s="237"/>
      <c r="F41" s="238"/>
      <c r="G41" s="236"/>
      <c r="H41" s="2">
        <f t="shared" si="1"/>
        <v>0</v>
      </c>
      <c r="I41" s="245" t="str">
        <f>IFERROR(VLOOKUP(D41,勘定科目!$B$2:$D$124,2,FALSE),"")</f>
        <v/>
      </c>
      <c r="J41" s="245" t="str">
        <f>IFERROR(VLOOKUP(G41,勘定科目!$B$2:$D$124,2,FALSE),"")</f>
        <v/>
      </c>
      <c r="K41" s="246"/>
      <c r="M41" s="249"/>
      <c r="U41" s="255"/>
    </row>
    <row r="42" spans="2:21">
      <c r="B42" s="234">
        <v>39</v>
      </c>
      <c r="C42" s="235"/>
      <c r="D42" s="236"/>
      <c r="E42" s="237"/>
      <c r="F42" s="238"/>
      <c r="G42" s="236"/>
      <c r="H42" s="2">
        <f t="shared" si="1"/>
        <v>0</v>
      </c>
      <c r="I42" s="245" t="str">
        <f>IFERROR(VLOOKUP(D42,勘定科目!$B$2:$D$124,2,FALSE),"")</f>
        <v/>
      </c>
      <c r="J42" s="245" t="str">
        <f>IFERROR(VLOOKUP(G42,勘定科目!$B$2:$D$124,2,FALSE),"")</f>
        <v/>
      </c>
      <c r="K42" s="246"/>
      <c r="M42" s="249"/>
      <c r="U42" s="255"/>
    </row>
    <row r="43" spans="2:21">
      <c r="B43" s="234">
        <v>40</v>
      </c>
      <c r="C43" s="235"/>
      <c r="D43" s="236"/>
      <c r="E43" s="237"/>
      <c r="F43" s="238"/>
      <c r="G43" s="236"/>
      <c r="H43" s="2">
        <f t="shared" si="1"/>
        <v>0</v>
      </c>
      <c r="I43" s="245" t="str">
        <f>IFERROR(VLOOKUP(D43,勘定科目!$B$2:$D$124,2,FALSE),"")</f>
        <v/>
      </c>
      <c r="J43" s="245" t="str">
        <f>IFERROR(VLOOKUP(G43,勘定科目!$B$2:$D$124,2,FALSE),"")</f>
        <v/>
      </c>
      <c r="K43" s="246"/>
      <c r="M43" s="249"/>
      <c r="U43" s="255"/>
    </row>
    <row r="44" spans="2:21">
      <c r="B44" s="234">
        <v>41</v>
      </c>
      <c r="C44" s="235"/>
      <c r="D44" s="236"/>
      <c r="E44" s="237"/>
      <c r="F44" s="238"/>
      <c r="G44" s="236"/>
      <c r="H44" s="2">
        <f t="shared" si="1"/>
        <v>0</v>
      </c>
      <c r="I44" s="245" t="str">
        <f>IFERROR(VLOOKUP(D44,勘定科目!$B$2:$D$124,2,FALSE),"")</f>
        <v/>
      </c>
      <c r="J44" s="245" t="str">
        <f>IFERROR(VLOOKUP(G44,勘定科目!$B$2:$D$124,2,FALSE),"")</f>
        <v/>
      </c>
      <c r="K44" s="246"/>
      <c r="M44" s="249"/>
      <c r="U44" s="255"/>
    </row>
    <row r="45" spans="2:21">
      <c r="B45" s="234">
        <v>42</v>
      </c>
      <c r="C45" s="235"/>
      <c r="D45" s="236"/>
      <c r="E45" s="237"/>
      <c r="F45" s="238"/>
      <c r="G45" s="236"/>
      <c r="H45" s="2">
        <f t="shared" si="1"/>
        <v>0</v>
      </c>
      <c r="I45" s="245" t="str">
        <f>IFERROR(VLOOKUP(D45,勘定科目!$B$2:$D$124,2,FALSE),"")</f>
        <v/>
      </c>
      <c r="J45" s="245" t="str">
        <f>IFERROR(VLOOKUP(G45,勘定科目!$B$2:$D$124,2,FALSE),"")</f>
        <v/>
      </c>
      <c r="K45" s="246"/>
      <c r="M45" s="249"/>
      <c r="U45" s="255"/>
    </row>
    <row r="46" spans="2:21">
      <c r="B46" s="234">
        <v>43</v>
      </c>
      <c r="C46" s="235"/>
      <c r="D46" s="236"/>
      <c r="E46" s="237"/>
      <c r="F46" s="238"/>
      <c r="G46" s="236"/>
      <c r="H46" s="2">
        <f t="shared" si="1"/>
        <v>0</v>
      </c>
      <c r="I46" s="245" t="str">
        <f>IFERROR(VLOOKUP(D46,勘定科目!$B$2:$D$124,2,FALSE),"")</f>
        <v/>
      </c>
      <c r="J46" s="245" t="str">
        <f>IFERROR(VLOOKUP(G46,勘定科目!$B$2:$D$124,2,FALSE),"")</f>
        <v/>
      </c>
      <c r="K46" s="246"/>
      <c r="M46" s="249"/>
      <c r="U46" s="255"/>
    </row>
    <row r="47" spans="2:21">
      <c r="B47" s="234">
        <v>44</v>
      </c>
      <c r="C47" s="235"/>
      <c r="D47" s="236"/>
      <c r="E47" s="237"/>
      <c r="F47" s="238"/>
      <c r="G47" s="236"/>
      <c r="H47" s="2">
        <f t="shared" si="1"/>
        <v>0</v>
      </c>
      <c r="I47" s="245" t="str">
        <f>IFERROR(VLOOKUP(D47,勘定科目!$B$2:$D$124,2,FALSE),"")</f>
        <v/>
      </c>
      <c r="J47" s="245" t="str">
        <f>IFERROR(VLOOKUP(G47,勘定科目!$B$2:$D$124,2,FALSE),"")</f>
        <v/>
      </c>
      <c r="K47" s="246"/>
      <c r="M47" s="249"/>
      <c r="U47" s="255"/>
    </row>
    <row r="48" spans="2:21">
      <c r="B48" s="234">
        <v>45</v>
      </c>
      <c r="C48" s="235"/>
      <c r="D48" s="236"/>
      <c r="E48" s="237"/>
      <c r="F48" s="238"/>
      <c r="G48" s="236"/>
      <c r="H48" s="2">
        <f t="shared" si="1"/>
        <v>0</v>
      </c>
      <c r="I48" s="245" t="str">
        <f>IFERROR(VLOOKUP(D48,勘定科目!$B$2:$D$124,2,FALSE),"")</f>
        <v/>
      </c>
      <c r="J48" s="245" t="str">
        <f>IFERROR(VLOOKUP(G48,勘定科目!$B$2:$D$124,2,FALSE),"")</f>
        <v/>
      </c>
      <c r="K48" s="246"/>
      <c r="M48" s="249"/>
      <c r="U48" s="255"/>
    </row>
    <row r="49" spans="2:21">
      <c r="B49" s="234">
        <v>46</v>
      </c>
      <c r="C49" s="235"/>
      <c r="D49" s="236"/>
      <c r="E49" s="237"/>
      <c r="F49" s="238"/>
      <c r="G49" s="236"/>
      <c r="H49" s="2">
        <f t="shared" si="1"/>
        <v>0</v>
      </c>
      <c r="I49" s="245" t="str">
        <f>IFERROR(VLOOKUP(D49,勘定科目!$B$2:$D$124,2,FALSE),"")</f>
        <v/>
      </c>
      <c r="J49" s="245" t="str">
        <f>IFERROR(VLOOKUP(G49,勘定科目!$B$2:$D$124,2,FALSE),"")</f>
        <v/>
      </c>
      <c r="K49" s="246"/>
      <c r="M49" s="249"/>
      <c r="U49" s="255"/>
    </row>
    <row r="50" spans="2:21">
      <c r="B50" s="234">
        <v>47</v>
      </c>
      <c r="C50" s="235"/>
      <c r="D50" s="236"/>
      <c r="E50" s="237"/>
      <c r="F50" s="238"/>
      <c r="G50" s="236"/>
      <c r="H50" s="2">
        <f t="shared" si="1"/>
        <v>0</v>
      </c>
      <c r="I50" s="245" t="str">
        <f>IFERROR(VLOOKUP(D50,勘定科目!$B$2:$D$124,2,FALSE),"")</f>
        <v/>
      </c>
      <c r="J50" s="245" t="str">
        <f>IFERROR(VLOOKUP(G50,勘定科目!$B$2:$D$124,2,FALSE),"")</f>
        <v/>
      </c>
      <c r="K50" s="246"/>
      <c r="M50" s="249"/>
      <c r="U50" s="255"/>
    </row>
    <row r="51" spans="2:21">
      <c r="B51" s="234">
        <v>48</v>
      </c>
      <c r="C51" s="235"/>
      <c r="D51" s="236"/>
      <c r="E51" s="237"/>
      <c r="F51" s="238"/>
      <c r="G51" s="236"/>
      <c r="H51" s="2">
        <f t="shared" si="1"/>
        <v>0</v>
      </c>
      <c r="I51" s="245" t="str">
        <f>IFERROR(VLOOKUP(D51,勘定科目!$B$2:$D$124,2,FALSE),"")</f>
        <v/>
      </c>
      <c r="J51" s="245" t="str">
        <f>IFERROR(VLOOKUP(G51,勘定科目!$B$2:$D$124,2,FALSE),"")</f>
        <v/>
      </c>
      <c r="K51" s="246"/>
      <c r="M51" s="249"/>
      <c r="U51" s="255"/>
    </row>
    <row r="52" spans="2:21">
      <c r="B52" s="234">
        <v>49</v>
      </c>
      <c r="C52" s="235"/>
      <c r="D52" s="236"/>
      <c r="E52" s="237"/>
      <c r="F52" s="238"/>
      <c r="G52" s="236"/>
      <c r="H52" s="2">
        <f t="shared" si="1"/>
        <v>0</v>
      </c>
      <c r="I52" s="245" t="str">
        <f>IFERROR(VLOOKUP(D52,勘定科目!$B$2:$D$124,2,FALSE),"")</f>
        <v/>
      </c>
      <c r="J52" s="245" t="str">
        <f>IFERROR(VLOOKUP(G52,勘定科目!$B$2:$D$124,2,FALSE),"")</f>
        <v/>
      </c>
      <c r="K52" s="246"/>
      <c r="M52" s="249"/>
      <c r="U52" s="255"/>
    </row>
    <row r="53" spans="2:21">
      <c r="B53" s="234">
        <v>50</v>
      </c>
      <c r="C53" s="235"/>
      <c r="D53" s="236"/>
      <c r="E53" s="237"/>
      <c r="F53" s="238"/>
      <c r="G53" s="236"/>
      <c r="H53" s="2">
        <f t="shared" si="1"/>
        <v>0</v>
      </c>
      <c r="I53" s="245" t="str">
        <f>IFERROR(VLOOKUP(D53,勘定科目!$B$2:$D$124,2,FALSE),"")</f>
        <v/>
      </c>
      <c r="J53" s="245" t="str">
        <f>IFERROR(VLOOKUP(G53,勘定科目!$B$2:$D$124,2,FALSE),"")</f>
        <v/>
      </c>
      <c r="K53" s="246"/>
      <c r="M53" s="249"/>
      <c r="U53" s="255"/>
    </row>
    <row r="54" spans="2:21">
      <c r="B54" s="234">
        <v>51</v>
      </c>
      <c r="C54" s="235"/>
      <c r="D54" s="236"/>
      <c r="E54" s="237"/>
      <c r="F54" s="238"/>
      <c r="G54" s="236"/>
      <c r="H54" s="2">
        <f t="shared" si="1"/>
        <v>0</v>
      </c>
      <c r="I54" s="245" t="str">
        <f>IFERROR(VLOOKUP(D54,勘定科目!$B$2:$D$124,2,FALSE),"")</f>
        <v/>
      </c>
      <c r="J54" s="245" t="str">
        <f>IFERROR(VLOOKUP(G54,勘定科目!$B$2:$D$124,2,FALSE),"")</f>
        <v/>
      </c>
      <c r="K54" s="246"/>
      <c r="M54" s="249"/>
      <c r="U54" s="255"/>
    </row>
    <row r="55" spans="2:21">
      <c r="B55" s="234">
        <v>52</v>
      </c>
      <c r="C55" s="235"/>
      <c r="D55" s="236"/>
      <c r="E55" s="237"/>
      <c r="F55" s="238"/>
      <c r="G55" s="236"/>
      <c r="H55" s="2">
        <f t="shared" si="1"/>
        <v>0</v>
      </c>
      <c r="I55" s="245" t="str">
        <f>IFERROR(VLOOKUP(D55,勘定科目!$B$2:$D$124,2,FALSE),"")</f>
        <v/>
      </c>
      <c r="J55" s="245" t="str">
        <f>IFERROR(VLOOKUP(G55,勘定科目!$B$2:$D$124,2,FALSE),"")</f>
        <v/>
      </c>
      <c r="K55" s="246"/>
      <c r="M55" s="249"/>
      <c r="U55" s="255"/>
    </row>
    <row r="56" spans="2:21">
      <c r="B56" s="234">
        <v>53</v>
      </c>
      <c r="C56" s="235"/>
      <c r="D56" s="236"/>
      <c r="E56" s="237"/>
      <c r="F56" s="238"/>
      <c r="G56" s="236"/>
      <c r="H56" s="2">
        <f t="shared" ref="H56:H103" si="2">E56</f>
        <v>0</v>
      </c>
      <c r="I56" s="245" t="str">
        <f>IFERROR(VLOOKUP(D56,勘定科目!$B$2:$D$124,2,FALSE),"")</f>
        <v/>
      </c>
      <c r="J56" s="245" t="str">
        <f>IFERROR(VLOOKUP(G56,勘定科目!$B$2:$D$124,2,FALSE),"")</f>
        <v/>
      </c>
      <c r="K56" s="246"/>
      <c r="M56" s="249"/>
      <c r="U56" s="255"/>
    </row>
    <row r="57" spans="2:21">
      <c r="B57" s="234">
        <v>54</v>
      </c>
      <c r="C57" s="235"/>
      <c r="D57" s="236"/>
      <c r="E57" s="237"/>
      <c r="F57" s="238"/>
      <c r="G57" s="236"/>
      <c r="H57" s="2">
        <f t="shared" si="2"/>
        <v>0</v>
      </c>
      <c r="I57" s="245" t="str">
        <f>IFERROR(VLOOKUP(D57,勘定科目!$B$2:$D$124,2,FALSE),"")</f>
        <v/>
      </c>
      <c r="J57" s="245" t="str">
        <f>IFERROR(VLOOKUP(G57,勘定科目!$B$2:$D$124,2,FALSE),"")</f>
        <v/>
      </c>
      <c r="K57" s="246"/>
      <c r="M57" s="249"/>
      <c r="U57" s="255"/>
    </row>
    <row r="58" spans="2:21">
      <c r="B58" s="234">
        <v>55</v>
      </c>
      <c r="C58" s="235"/>
      <c r="D58" s="236"/>
      <c r="E58" s="237"/>
      <c r="F58" s="238"/>
      <c r="G58" s="236"/>
      <c r="H58" s="2">
        <f t="shared" si="2"/>
        <v>0</v>
      </c>
      <c r="I58" s="245" t="str">
        <f>IFERROR(VLOOKUP(D58,勘定科目!$B$2:$D$124,2,FALSE),"")</f>
        <v/>
      </c>
      <c r="J58" s="245" t="str">
        <f>IFERROR(VLOOKUP(G58,勘定科目!$B$2:$D$124,2,FALSE),"")</f>
        <v/>
      </c>
      <c r="K58" s="246"/>
      <c r="M58" s="249"/>
      <c r="U58" s="255"/>
    </row>
    <row r="59" spans="2:21">
      <c r="B59" s="234">
        <v>56</v>
      </c>
      <c r="C59" s="235"/>
      <c r="D59" s="236"/>
      <c r="E59" s="237"/>
      <c r="F59" s="238"/>
      <c r="G59" s="236"/>
      <c r="H59" s="2">
        <f t="shared" si="2"/>
        <v>0</v>
      </c>
      <c r="I59" s="245" t="str">
        <f>IFERROR(VLOOKUP(D59,勘定科目!$B$2:$D$124,2,FALSE),"")</f>
        <v/>
      </c>
      <c r="J59" s="245" t="str">
        <f>IFERROR(VLOOKUP(G59,勘定科目!$B$2:$D$124,2,FALSE),"")</f>
        <v/>
      </c>
      <c r="K59" s="246"/>
      <c r="M59" s="249"/>
      <c r="U59" s="255"/>
    </row>
    <row r="60" spans="2:21">
      <c r="B60" s="234">
        <v>57</v>
      </c>
      <c r="C60" s="235"/>
      <c r="D60" s="236"/>
      <c r="E60" s="237"/>
      <c r="F60" s="238"/>
      <c r="G60" s="236"/>
      <c r="H60" s="2">
        <f t="shared" si="2"/>
        <v>0</v>
      </c>
      <c r="I60" s="245" t="str">
        <f>IFERROR(VLOOKUP(D60,勘定科目!$B$2:$D$124,2,FALSE),"")</f>
        <v/>
      </c>
      <c r="J60" s="245" t="str">
        <f>IFERROR(VLOOKUP(G60,勘定科目!$B$2:$D$124,2,FALSE),"")</f>
        <v/>
      </c>
      <c r="K60" s="246"/>
      <c r="M60" s="249"/>
      <c r="U60" s="255"/>
    </row>
    <row r="61" spans="2:21">
      <c r="B61" s="234">
        <v>58</v>
      </c>
      <c r="C61" s="235"/>
      <c r="D61" s="236"/>
      <c r="E61" s="237"/>
      <c r="F61" s="238"/>
      <c r="G61" s="236"/>
      <c r="H61" s="2">
        <f t="shared" si="2"/>
        <v>0</v>
      </c>
      <c r="I61" s="245" t="str">
        <f>IFERROR(VLOOKUP(D61,勘定科目!$B$2:$D$124,2,FALSE),"")</f>
        <v/>
      </c>
      <c r="J61" s="245" t="str">
        <f>IFERROR(VLOOKUP(G61,勘定科目!$B$2:$D$124,2,FALSE),"")</f>
        <v/>
      </c>
      <c r="K61" s="246"/>
      <c r="M61" s="249"/>
      <c r="U61" s="255"/>
    </row>
    <row r="62" spans="2:21">
      <c r="B62" s="234">
        <v>59</v>
      </c>
      <c r="C62" s="235"/>
      <c r="D62" s="236"/>
      <c r="E62" s="237"/>
      <c r="F62" s="238"/>
      <c r="G62" s="236"/>
      <c r="H62" s="2">
        <f t="shared" si="2"/>
        <v>0</v>
      </c>
      <c r="I62" s="245" t="str">
        <f>IFERROR(VLOOKUP(D62,勘定科目!$B$2:$D$124,2,FALSE),"")</f>
        <v/>
      </c>
      <c r="J62" s="245" t="str">
        <f>IFERROR(VLOOKUP(G62,勘定科目!$B$2:$D$124,2,FALSE),"")</f>
        <v/>
      </c>
      <c r="K62" s="246"/>
      <c r="M62" s="249"/>
      <c r="U62" s="255"/>
    </row>
    <row r="63" spans="2:21">
      <c r="B63" s="234">
        <v>60</v>
      </c>
      <c r="C63" s="235"/>
      <c r="D63" s="236"/>
      <c r="E63" s="237"/>
      <c r="F63" s="238"/>
      <c r="G63" s="236"/>
      <c r="H63" s="2">
        <f t="shared" si="2"/>
        <v>0</v>
      </c>
      <c r="I63" s="245" t="str">
        <f>IFERROR(VLOOKUP(D63,勘定科目!$B$2:$D$124,2,FALSE),"")</f>
        <v/>
      </c>
      <c r="J63" s="245" t="str">
        <f>IFERROR(VLOOKUP(G63,勘定科目!$B$2:$D$124,2,FALSE),"")</f>
        <v/>
      </c>
      <c r="K63" s="246"/>
      <c r="M63" s="249"/>
      <c r="U63" s="255"/>
    </row>
    <row r="64" spans="2:21">
      <c r="B64" s="234">
        <v>61</v>
      </c>
      <c r="C64" s="235"/>
      <c r="D64" s="236"/>
      <c r="E64" s="237"/>
      <c r="F64" s="238"/>
      <c r="G64" s="236"/>
      <c r="H64" s="2">
        <f t="shared" si="2"/>
        <v>0</v>
      </c>
      <c r="I64" s="245" t="str">
        <f>IFERROR(VLOOKUP(D64,勘定科目!$B$2:$D$124,2,FALSE),"")</f>
        <v/>
      </c>
      <c r="J64" s="245" t="str">
        <f>IFERROR(VLOOKUP(G64,勘定科目!$B$2:$D$124,2,FALSE),"")</f>
        <v/>
      </c>
      <c r="K64" s="246"/>
      <c r="M64" s="249"/>
      <c r="U64" s="255"/>
    </row>
    <row r="65" spans="2:21">
      <c r="B65" s="234">
        <v>62</v>
      </c>
      <c r="C65" s="235"/>
      <c r="D65" s="236"/>
      <c r="E65" s="237"/>
      <c r="F65" s="238"/>
      <c r="G65" s="236"/>
      <c r="H65" s="2">
        <f t="shared" si="2"/>
        <v>0</v>
      </c>
      <c r="I65" s="245" t="str">
        <f>IFERROR(VLOOKUP(D65,勘定科目!$B$2:$D$124,2,FALSE),"")</f>
        <v/>
      </c>
      <c r="J65" s="245" t="str">
        <f>IFERROR(VLOOKUP(G65,勘定科目!$B$2:$D$124,2,FALSE),"")</f>
        <v/>
      </c>
      <c r="K65" s="246"/>
      <c r="M65" s="249"/>
      <c r="U65" s="255"/>
    </row>
    <row r="66" spans="2:21">
      <c r="B66" s="234">
        <v>63</v>
      </c>
      <c r="C66" s="235"/>
      <c r="D66" s="236"/>
      <c r="E66" s="237"/>
      <c r="F66" s="238"/>
      <c r="G66" s="236"/>
      <c r="H66" s="2">
        <f t="shared" si="2"/>
        <v>0</v>
      </c>
      <c r="I66" s="245" t="str">
        <f>IFERROR(VLOOKUP(D66,勘定科目!$B$2:$D$124,2,FALSE),"")</f>
        <v/>
      </c>
      <c r="J66" s="245" t="str">
        <f>IFERROR(VLOOKUP(G66,勘定科目!$B$2:$D$124,2,FALSE),"")</f>
        <v/>
      </c>
      <c r="K66" s="246"/>
      <c r="M66" s="249"/>
      <c r="U66" s="255"/>
    </row>
    <row r="67" spans="2:21">
      <c r="B67" s="234">
        <v>64</v>
      </c>
      <c r="C67" s="235"/>
      <c r="D67" s="236"/>
      <c r="E67" s="237"/>
      <c r="F67" s="238"/>
      <c r="G67" s="236"/>
      <c r="H67" s="2">
        <f t="shared" si="2"/>
        <v>0</v>
      </c>
      <c r="I67" s="245" t="str">
        <f>IFERROR(VLOOKUP(D67,勘定科目!$B$2:$D$124,2,FALSE),"")</f>
        <v/>
      </c>
      <c r="J67" s="245" t="str">
        <f>IFERROR(VLOOKUP(G67,勘定科目!$B$2:$D$124,2,FALSE),"")</f>
        <v/>
      </c>
      <c r="K67" s="246"/>
      <c r="M67" s="249"/>
      <c r="U67" s="255"/>
    </row>
    <row r="68" spans="2:21">
      <c r="B68" s="234">
        <v>65</v>
      </c>
      <c r="C68" s="235"/>
      <c r="D68" s="236"/>
      <c r="E68" s="237"/>
      <c r="F68" s="238"/>
      <c r="G68" s="236"/>
      <c r="H68" s="2">
        <f t="shared" si="2"/>
        <v>0</v>
      </c>
      <c r="I68" s="245" t="str">
        <f>IFERROR(VLOOKUP(D68,勘定科目!$B$2:$D$124,2,FALSE),"")</f>
        <v/>
      </c>
      <c r="J68" s="245" t="str">
        <f>IFERROR(VLOOKUP(G68,勘定科目!$B$2:$D$124,2,FALSE),"")</f>
        <v/>
      </c>
      <c r="K68" s="246"/>
      <c r="M68" s="249"/>
      <c r="U68" s="255"/>
    </row>
    <row r="69" spans="2:21">
      <c r="B69" s="234">
        <v>66</v>
      </c>
      <c r="C69" s="235"/>
      <c r="D69" s="236"/>
      <c r="E69" s="237"/>
      <c r="F69" s="238"/>
      <c r="G69" s="236"/>
      <c r="H69" s="2">
        <f t="shared" si="2"/>
        <v>0</v>
      </c>
      <c r="I69" s="245" t="str">
        <f>IFERROR(VLOOKUP(D69,勘定科目!$B$2:$D$124,2,FALSE),"")</f>
        <v/>
      </c>
      <c r="J69" s="245" t="str">
        <f>IFERROR(VLOOKUP(G69,勘定科目!$B$2:$D$124,2,FALSE),"")</f>
        <v/>
      </c>
      <c r="K69" s="246"/>
      <c r="M69" s="249"/>
      <c r="U69" s="255"/>
    </row>
    <row r="70" spans="2:21">
      <c r="B70" s="234">
        <v>67</v>
      </c>
      <c r="C70" s="235"/>
      <c r="D70" s="236"/>
      <c r="E70" s="237"/>
      <c r="F70" s="238"/>
      <c r="G70" s="236"/>
      <c r="H70" s="2">
        <f t="shared" si="2"/>
        <v>0</v>
      </c>
      <c r="I70" s="245" t="str">
        <f>IFERROR(VLOOKUP(D70,勘定科目!$B$2:$D$124,2,FALSE),"")</f>
        <v/>
      </c>
      <c r="J70" s="245" t="str">
        <f>IFERROR(VLOOKUP(G70,勘定科目!$B$2:$D$124,2,FALSE),"")</f>
        <v/>
      </c>
      <c r="K70" s="246"/>
      <c r="M70" s="249"/>
      <c r="U70" s="255"/>
    </row>
    <row r="71" spans="2:21">
      <c r="B71" s="234">
        <v>68</v>
      </c>
      <c r="C71" s="235"/>
      <c r="D71" s="236"/>
      <c r="E71" s="237"/>
      <c r="F71" s="238"/>
      <c r="G71" s="236"/>
      <c r="H71" s="2">
        <f t="shared" si="2"/>
        <v>0</v>
      </c>
      <c r="I71" s="245" t="str">
        <f>IFERROR(VLOOKUP(D71,勘定科目!$B$2:$D$124,2,FALSE),"")</f>
        <v/>
      </c>
      <c r="J71" s="245" t="str">
        <f>IFERROR(VLOOKUP(G71,勘定科目!$B$2:$D$124,2,FALSE),"")</f>
        <v/>
      </c>
      <c r="K71" s="246"/>
      <c r="M71" s="249"/>
      <c r="U71" s="255"/>
    </row>
    <row r="72" spans="2:21">
      <c r="B72" s="234">
        <v>69</v>
      </c>
      <c r="C72" s="235"/>
      <c r="D72" s="236"/>
      <c r="E72" s="237"/>
      <c r="F72" s="238"/>
      <c r="G72" s="236"/>
      <c r="H72" s="2">
        <f t="shared" si="2"/>
        <v>0</v>
      </c>
      <c r="I72" s="245" t="str">
        <f>IFERROR(VLOOKUP(D72,勘定科目!$B$2:$D$124,2,FALSE),"")</f>
        <v/>
      </c>
      <c r="J72" s="245" t="str">
        <f>IFERROR(VLOOKUP(G72,勘定科目!$B$2:$D$124,2,FALSE),"")</f>
        <v/>
      </c>
      <c r="K72" s="246"/>
      <c r="M72" s="249"/>
      <c r="U72" s="255"/>
    </row>
    <row r="73" spans="2:21">
      <c r="B73" s="234">
        <v>70</v>
      </c>
      <c r="C73" s="235"/>
      <c r="D73" s="236"/>
      <c r="E73" s="237"/>
      <c r="F73" s="238"/>
      <c r="G73" s="236"/>
      <c r="H73" s="2">
        <f t="shared" si="2"/>
        <v>0</v>
      </c>
      <c r="I73" s="245" t="str">
        <f>IFERROR(VLOOKUP(D73,勘定科目!$B$2:$D$124,2,FALSE),"")</f>
        <v/>
      </c>
      <c r="J73" s="245" t="str">
        <f>IFERROR(VLOOKUP(G73,勘定科目!$B$2:$D$124,2,FALSE),"")</f>
        <v/>
      </c>
      <c r="K73" s="246"/>
      <c r="M73" s="249"/>
      <c r="U73" s="255"/>
    </row>
    <row r="74" spans="2:21">
      <c r="B74" s="234">
        <v>71</v>
      </c>
      <c r="C74" s="235"/>
      <c r="D74" s="236"/>
      <c r="E74" s="237"/>
      <c r="F74" s="238"/>
      <c r="G74" s="236"/>
      <c r="H74" s="2">
        <f t="shared" si="2"/>
        <v>0</v>
      </c>
      <c r="I74" s="245" t="str">
        <f>IFERROR(VLOOKUP(D74,勘定科目!$B$2:$D$124,2,FALSE),"")</f>
        <v/>
      </c>
      <c r="J74" s="245" t="str">
        <f>IFERROR(VLOOKUP(G74,勘定科目!$B$2:$D$124,2,FALSE),"")</f>
        <v/>
      </c>
      <c r="K74" s="246"/>
      <c r="M74" s="249"/>
      <c r="U74" s="255"/>
    </row>
    <row r="75" spans="2:21">
      <c r="B75" s="234">
        <v>72</v>
      </c>
      <c r="C75" s="235"/>
      <c r="D75" s="236"/>
      <c r="E75" s="237"/>
      <c r="F75" s="238"/>
      <c r="G75" s="236"/>
      <c r="H75" s="2">
        <f t="shared" si="2"/>
        <v>0</v>
      </c>
      <c r="I75" s="245" t="str">
        <f>IFERROR(VLOOKUP(D75,勘定科目!$B$2:$D$124,2,FALSE),"")</f>
        <v/>
      </c>
      <c r="J75" s="245" t="str">
        <f>IFERROR(VLOOKUP(G75,勘定科目!$B$2:$D$124,2,FALSE),"")</f>
        <v/>
      </c>
      <c r="K75" s="246"/>
      <c r="M75" s="249"/>
      <c r="U75" s="255"/>
    </row>
    <row r="76" spans="2:21">
      <c r="B76" s="234">
        <v>73</v>
      </c>
      <c r="C76" s="235"/>
      <c r="D76" s="236"/>
      <c r="E76" s="237"/>
      <c r="F76" s="238"/>
      <c r="G76" s="236"/>
      <c r="H76" s="2">
        <f t="shared" si="2"/>
        <v>0</v>
      </c>
      <c r="I76" s="245" t="str">
        <f>IFERROR(VLOOKUP(D76,勘定科目!$B$2:$D$124,2,FALSE),"")</f>
        <v/>
      </c>
      <c r="J76" s="245" t="str">
        <f>IFERROR(VLOOKUP(G76,勘定科目!$B$2:$D$124,2,FALSE),"")</f>
        <v/>
      </c>
      <c r="K76" s="246"/>
      <c r="M76" s="249"/>
      <c r="U76" s="255"/>
    </row>
    <row r="77" spans="2:21">
      <c r="B77" s="234">
        <v>74</v>
      </c>
      <c r="C77" s="235"/>
      <c r="D77" s="236"/>
      <c r="E77" s="237"/>
      <c r="F77" s="238"/>
      <c r="G77" s="236"/>
      <c r="H77" s="2">
        <f t="shared" si="2"/>
        <v>0</v>
      </c>
      <c r="I77" s="245" t="str">
        <f>IFERROR(VLOOKUP(D77,勘定科目!$B$2:$D$124,2,FALSE),"")</f>
        <v/>
      </c>
      <c r="J77" s="245" t="str">
        <f>IFERROR(VLOOKUP(G77,勘定科目!$B$2:$D$124,2,FALSE),"")</f>
        <v/>
      </c>
      <c r="K77" s="246"/>
      <c r="M77" s="249"/>
      <c r="U77" s="255"/>
    </row>
    <row r="78" spans="2:21">
      <c r="B78" s="234">
        <v>75</v>
      </c>
      <c r="C78" s="235"/>
      <c r="D78" s="236"/>
      <c r="E78" s="237"/>
      <c r="F78" s="238"/>
      <c r="G78" s="236"/>
      <c r="H78" s="2">
        <f t="shared" si="2"/>
        <v>0</v>
      </c>
      <c r="I78" s="245" t="str">
        <f>IFERROR(VLOOKUP(D78,勘定科目!$B$2:$D$124,2,FALSE),"")</f>
        <v/>
      </c>
      <c r="J78" s="245" t="str">
        <f>IFERROR(VLOOKUP(G78,勘定科目!$B$2:$D$124,2,FALSE),"")</f>
        <v/>
      </c>
      <c r="K78" s="246"/>
      <c r="M78" s="249"/>
      <c r="U78" s="255"/>
    </row>
    <row r="79" spans="2:21">
      <c r="B79" s="234">
        <v>76</v>
      </c>
      <c r="C79" s="235"/>
      <c r="D79" s="236"/>
      <c r="E79" s="237"/>
      <c r="F79" s="238"/>
      <c r="G79" s="236"/>
      <c r="H79" s="2">
        <f t="shared" si="2"/>
        <v>0</v>
      </c>
      <c r="I79" s="245" t="str">
        <f>IFERROR(VLOOKUP(D79,勘定科目!$B$2:$D$124,2,FALSE),"")</f>
        <v/>
      </c>
      <c r="J79" s="245" t="str">
        <f>IFERROR(VLOOKUP(G79,勘定科目!$B$2:$D$124,2,FALSE),"")</f>
        <v/>
      </c>
      <c r="K79" s="246"/>
      <c r="M79" s="249"/>
      <c r="U79" s="255"/>
    </row>
    <row r="80" spans="2:21">
      <c r="B80" s="234">
        <v>77</v>
      </c>
      <c r="C80" s="235"/>
      <c r="D80" s="236"/>
      <c r="E80" s="237"/>
      <c r="F80" s="238"/>
      <c r="G80" s="236"/>
      <c r="H80" s="2">
        <f t="shared" si="2"/>
        <v>0</v>
      </c>
      <c r="I80" s="245" t="str">
        <f>IFERROR(VLOOKUP(D80,勘定科目!$B$2:$D$124,2,FALSE),"")</f>
        <v/>
      </c>
      <c r="J80" s="245" t="str">
        <f>IFERROR(VLOOKUP(G80,勘定科目!$B$2:$D$124,2,FALSE),"")</f>
        <v/>
      </c>
      <c r="K80" s="246"/>
      <c r="M80" s="249"/>
      <c r="U80" s="255"/>
    </row>
    <row r="81" spans="2:21">
      <c r="B81" s="234">
        <v>78</v>
      </c>
      <c r="C81" s="235"/>
      <c r="D81" s="236"/>
      <c r="E81" s="237"/>
      <c r="F81" s="238"/>
      <c r="G81" s="236"/>
      <c r="H81" s="2">
        <f t="shared" si="2"/>
        <v>0</v>
      </c>
      <c r="I81" s="245" t="str">
        <f>IFERROR(VLOOKUP(D81,勘定科目!$B$2:$D$124,2,FALSE),"")</f>
        <v/>
      </c>
      <c r="J81" s="245" t="str">
        <f>IFERROR(VLOOKUP(G81,勘定科目!$B$2:$D$124,2,FALSE),"")</f>
        <v/>
      </c>
      <c r="K81" s="246"/>
      <c r="M81" s="249"/>
      <c r="U81" s="255"/>
    </row>
    <row r="82" spans="2:21">
      <c r="B82" s="234">
        <v>79</v>
      </c>
      <c r="C82" s="235"/>
      <c r="D82" s="236"/>
      <c r="E82" s="237"/>
      <c r="F82" s="238"/>
      <c r="G82" s="236"/>
      <c r="H82" s="2">
        <f t="shared" si="2"/>
        <v>0</v>
      </c>
      <c r="I82" s="245" t="str">
        <f>IFERROR(VLOOKUP(D82,勘定科目!$B$2:$D$124,2,FALSE),"")</f>
        <v/>
      </c>
      <c r="J82" s="245" t="str">
        <f>IFERROR(VLOOKUP(G82,勘定科目!$B$2:$D$124,2,FALSE),"")</f>
        <v/>
      </c>
      <c r="K82" s="246"/>
      <c r="M82" s="249"/>
      <c r="U82" s="255"/>
    </row>
    <row r="83" spans="2:21">
      <c r="B83" s="234">
        <v>80</v>
      </c>
      <c r="C83" s="235"/>
      <c r="D83" s="236"/>
      <c r="E83" s="237"/>
      <c r="F83" s="238"/>
      <c r="G83" s="236"/>
      <c r="H83" s="2">
        <f t="shared" si="2"/>
        <v>0</v>
      </c>
      <c r="I83" s="245" t="str">
        <f>IFERROR(VLOOKUP(D83,勘定科目!$B$2:$D$124,2,FALSE),"")</f>
        <v/>
      </c>
      <c r="J83" s="245" t="str">
        <f>IFERROR(VLOOKUP(G83,勘定科目!$B$2:$D$124,2,FALSE),"")</f>
        <v/>
      </c>
      <c r="K83" s="246"/>
      <c r="M83" s="249"/>
      <c r="U83" s="255"/>
    </row>
    <row r="84" spans="2:21">
      <c r="B84" s="234">
        <v>81</v>
      </c>
      <c r="C84" s="235"/>
      <c r="D84" s="236"/>
      <c r="E84" s="237"/>
      <c r="F84" s="238"/>
      <c r="G84" s="236"/>
      <c r="H84" s="2">
        <f t="shared" si="2"/>
        <v>0</v>
      </c>
      <c r="I84" s="245" t="str">
        <f>IFERROR(VLOOKUP(D84,勘定科目!$B$2:$D$124,2,FALSE),"")</f>
        <v/>
      </c>
      <c r="J84" s="245" t="str">
        <f>IFERROR(VLOOKUP(G84,勘定科目!$B$2:$D$124,2,FALSE),"")</f>
        <v/>
      </c>
      <c r="K84" s="246"/>
      <c r="M84" s="249"/>
      <c r="U84" s="255"/>
    </row>
    <row r="85" spans="2:21">
      <c r="B85" s="234">
        <v>82</v>
      </c>
      <c r="C85" s="235"/>
      <c r="D85" s="236"/>
      <c r="E85" s="237"/>
      <c r="F85" s="238"/>
      <c r="G85" s="236"/>
      <c r="H85" s="2">
        <f t="shared" si="2"/>
        <v>0</v>
      </c>
      <c r="I85" s="245" t="str">
        <f>IFERROR(VLOOKUP(D85,勘定科目!$B$2:$D$124,2,FALSE),"")</f>
        <v/>
      </c>
      <c r="J85" s="245" t="str">
        <f>IFERROR(VLOOKUP(G85,勘定科目!$B$2:$D$124,2,FALSE),"")</f>
        <v/>
      </c>
      <c r="K85" s="246"/>
      <c r="M85" s="249"/>
      <c r="U85" s="255"/>
    </row>
    <row r="86" spans="2:21">
      <c r="B86" s="234">
        <v>83</v>
      </c>
      <c r="C86" s="235"/>
      <c r="D86" s="236"/>
      <c r="E86" s="237"/>
      <c r="F86" s="238"/>
      <c r="G86" s="236"/>
      <c r="H86" s="2">
        <f t="shared" si="2"/>
        <v>0</v>
      </c>
      <c r="I86" s="245" t="str">
        <f>IFERROR(VLOOKUP(D86,勘定科目!$B$2:$D$124,2,FALSE),"")</f>
        <v/>
      </c>
      <c r="J86" s="245" t="str">
        <f>IFERROR(VLOOKUP(G86,勘定科目!$B$2:$D$124,2,FALSE),"")</f>
        <v/>
      </c>
      <c r="K86" s="246"/>
      <c r="M86" s="249"/>
      <c r="U86" s="255"/>
    </row>
    <row r="87" spans="2:21">
      <c r="B87" s="234">
        <v>84</v>
      </c>
      <c r="C87" s="235"/>
      <c r="D87" s="236"/>
      <c r="E87" s="237"/>
      <c r="F87" s="238"/>
      <c r="G87" s="236"/>
      <c r="H87" s="2">
        <f t="shared" si="2"/>
        <v>0</v>
      </c>
      <c r="I87" s="245" t="str">
        <f>IFERROR(VLOOKUP(D87,勘定科目!$B$2:$D$124,2,FALSE),"")</f>
        <v/>
      </c>
      <c r="J87" s="245" t="str">
        <f>IFERROR(VLOOKUP(G87,勘定科目!$B$2:$D$124,2,FALSE),"")</f>
        <v/>
      </c>
      <c r="K87" s="246"/>
      <c r="M87" s="249"/>
      <c r="U87" s="255"/>
    </row>
    <row r="88" spans="2:21">
      <c r="B88" s="234">
        <v>85</v>
      </c>
      <c r="C88" s="235"/>
      <c r="D88" s="236"/>
      <c r="E88" s="237"/>
      <c r="F88" s="238"/>
      <c r="G88" s="236"/>
      <c r="H88" s="2">
        <f t="shared" si="2"/>
        <v>0</v>
      </c>
      <c r="I88" s="245" t="str">
        <f>IFERROR(VLOOKUP(D88,勘定科目!$B$2:$D$124,2,FALSE),"")</f>
        <v/>
      </c>
      <c r="J88" s="245" t="str">
        <f>IFERROR(VLOOKUP(G88,勘定科目!$B$2:$D$124,2,FALSE),"")</f>
        <v/>
      </c>
      <c r="K88" s="246"/>
      <c r="M88" s="249"/>
      <c r="U88" s="255"/>
    </row>
    <row r="89" spans="2:21">
      <c r="B89" s="234">
        <v>86</v>
      </c>
      <c r="C89" s="235"/>
      <c r="D89" s="236"/>
      <c r="E89" s="237"/>
      <c r="F89" s="238"/>
      <c r="G89" s="236"/>
      <c r="H89" s="2">
        <f t="shared" si="2"/>
        <v>0</v>
      </c>
      <c r="I89" s="245" t="str">
        <f>IFERROR(VLOOKUP(D89,勘定科目!$B$2:$D$124,2,FALSE),"")</f>
        <v/>
      </c>
      <c r="J89" s="245" t="str">
        <f>IFERROR(VLOOKUP(G89,勘定科目!$B$2:$D$124,2,FALSE),"")</f>
        <v/>
      </c>
      <c r="K89" s="246"/>
      <c r="M89" s="249"/>
      <c r="U89" s="255"/>
    </row>
    <row r="90" spans="2:21">
      <c r="B90" s="234">
        <v>87</v>
      </c>
      <c r="C90" s="235"/>
      <c r="D90" s="236"/>
      <c r="E90" s="237"/>
      <c r="F90" s="238"/>
      <c r="G90" s="236"/>
      <c r="H90" s="2">
        <f t="shared" si="2"/>
        <v>0</v>
      </c>
      <c r="I90" s="245" t="str">
        <f>IFERROR(VLOOKUP(D90,勘定科目!$B$2:$D$124,2,FALSE),"")</f>
        <v/>
      </c>
      <c r="J90" s="245" t="str">
        <f>IFERROR(VLOOKUP(G90,勘定科目!$B$2:$D$124,2,FALSE),"")</f>
        <v/>
      </c>
      <c r="K90" s="246"/>
      <c r="M90" s="249"/>
      <c r="U90" s="255"/>
    </row>
    <row r="91" spans="2:21">
      <c r="B91" s="234">
        <v>88</v>
      </c>
      <c r="C91" s="235"/>
      <c r="D91" s="236"/>
      <c r="E91" s="237"/>
      <c r="F91" s="238"/>
      <c r="G91" s="236"/>
      <c r="H91" s="2">
        <f t="shared" si="2"/>
        <v>0</v>
      </c>
      <c r="I91" s="245" t="str">
        <f>IFERROR(VLOOKUP(D91,勘定科目!$B$2:$D$124,2,FALSE),"")</f>
        <v/>
      </c>
      <c r="J91" s="245" t="str">
        <f>IFERROR(VLOOKUP(G91,勘定科目!$B$2:$D$124,2,FALSE),"")</f>
        <v/>
      </c>
      <c r="K91" s="246"/>
      <c r="M91" s="249"/>
      <c r="U91" s="255"/>
    </row>
    <row r="92" spans="2:21">
      <c r="B92" s="234">
        <v>89</v>
      </c>
      <c r="C92" s="235"/>
      <c r="D92" s="236"/>
      <c r="E92" s="237"/>
      <c r="F92" s="238"/>
      <c r="G92" s="236"/>
      <c r="H92" s="2">
        <f t="shared" si="2"/>
        <v>0</v>
      </c>
      <c r="I92" s="245" t="str">
        <f>IFERROR(VLOOKUP(D92,勘定科目!$B$2:$D$124,2,FALSE),"")</f>
        <v/>
      </c>
      <c r="J92" s="245" t="str">
        <f>IFERROR(VLOOKUP(G92,勘定科目!$B$2:$D$124,2,FALSE),"")</f>
        <v/>
      </c>
      <c r="K92" s="246"/>
      <c r="M92" s="249"/>
      <c r="U92" s="255"/>
    </row>
    <row r="93" spans="2:21">
      <c r="B93" s="234">
        <v>90</v>
      </c>
      <c r="C93" s="235"/>
      <c r="D93" s="236"/>
      <c r="E93" s="237"/>
      <c r="F93" s="238"/>
      <c r="G93" s="236"/>
      <c r="H93" s="2">
        <f t="shared" si="2"/>
        <v>0</v>
      </c>
      <c r="I93" s="245" t="str">
        <f>IFERROR(VLOOKUP(D93,勘定科目!$B$2:$D$124,2,FALSE),"")</f>
        <v/>
      </c>
      <c r="J93" s="245" t="str">
        <f>IFERROR(VLOOKUP(G93,勘定科目!$B$2:$D$124,2,FALSE),"")</f>
        <v/>
      </c>
      <c r="K93" s="246"/>
      <c r="M93" s="249"/>
      <c r="U93" s="255"/>
    </row>
    <row r="94" spans="2:21">
      <c r="B94" s="234">
        <v>91</v>
      </c>
      <c r="C94" s="235"/>
      <c r="D94" s="236"/>
      <c r="E94" s="237"/>
      <c r="F94" s="238"/>
      <c r="G94" s="236"/>
      <c r="H94" s="2">
        <f t="shared" si="2"/>
        <v>0</v>
      </c>
      <c r="I94" s="245" t="str">
        <f>IFERROR(VLOOKUP(D94,勘定科目!$B$2:$D$124,2,FALSE),"")</f>
        <v/>
      </c>
      <c r="J94" s="245" t="str">
        <f>IFERROR(VLOOKUP(G94,勘定科目!$B$2:$D$124,2,FALSE),"")</f>
        <v/>
      </c>
      <c r="K94" s="246"/>
      <c r="M94" s="249"/>
      <c r="U94" s="255"/>
    </row>
    <row r="95" spans="2:21">
      <c r="B95" s="234">
        <v>92</v>
      </c>
      <c r="C95" s="235"/>
      <c r="D95" s="236"/>
      <c r="E95" s="237"/>
      <c r="F95" s="238"/>
      <c r="G95" s="236"/>
      <c r="H95" s="2">
        <f t="shared" si="2"/>
        <v>0</v>
      </c>
      <c r="I95" s="245" t="str">
        <f>IFERROR(VLOOKUP(D95,勘定科目!$B$2:$D$124,2,FALSE),"")</f>
        <v/>
      </c>
      <c r="J95" s="245" t="str">
        <f>IFERROR(VLOOKUP(G95,勘定科目!$B$2:$D$124,2,FALSE),"")</f>
        <v/>
      </c>
      <c r="K95" s="246"/>
      <c r="M95" s="249"/>
      <c r="U95" s="255"/>
    </row>
    <row r="96" spans="2:21">
      <c r="B96" s="234">
        <v>93</v>
      </c>
      <c r="C96" s="235"/>
      <c r="D96" s="236"/>
      <c r="E96" s="237"/>
      <c r="F96" s="238"/>
      <c r="G96" s="236"/>
      <c r="H96" s="2">
        <f t="shared" si="2"/>
        <v>0</v>
      </c>
      <c r="I96" s="245" t="str">
        <f>IFERROR(VLOOKUP(D96,勘定科目!$B$2:$D$124,2,FALSE),"")</f>
        <v/>
      </c>
      <c r="J96" s="245" t="str">
        <f>IFERROR(VLOOKUP(G96,勘定科目!$B$2:$D$124,2,FALSE),"")</f>
        <v/>
      </c>
      <c r="K96" s="246"/>
      <c r="M96" s="249"/>
      <c r="U96" s="255"/>
    </row>
    <row r="97" spans="2:21">
      <c r="B97" s="234">
        <v>94</v>
      </c>
      <c r="C97" s="235"/>
      <c r="D97" s="236"/>
      <c r="E97" s="237"/>
      <c r="F97" s="238"/>
      <c r="G97" s="236"/>
      <c r="H97" s="2">
        <f t="shared" si="2"/>
        <v>0</v>
      </c>
      <c r="I97" s="245" t="str">
        <f>IFERROR(VLOOKUP(D97,勘定科目!$B$2:$D$124,2,FALSE),"")</f>
        <v/>
      </c>
      <c r="J97" s="245" t="str">
        <f>IFERROR(VLOOKUP(G97,勘定科目!$B$2:$D$124,2,FALSE),"")</f>
        <v/>
      </c>
      <c r="K97" s="246"/>
      <c r="M97" s="249"/>
      <c r="U97" s="255"/>
    </row>
    <row r="98" spans="2:21">
      <c r="B98" s="234">
        <v>95</v>
      </c>
      <c r="C98" s="235"/>
      <c r="D98" s="236"/>
      <c r="E98" s="237"/>
      <c r="F98" s="238"/>
      <c r="G98" s="236"/>
      <c r="H98" s="2">
        <f t="shared" si="2"/>
        <v>0</v>
      </c>
      <c r="I98" s="245" t="str">
        <f>IFERROR(VLOOKUP(D98,勘定科目!$B$2:$D$124,2,FALSE),"")</f>
        <v/>
      </c>
      <c r="J98" s="245" t="str">
        <f>IFERROR(VLOOKUP(G98,勘定科目!$B$2:$D$124,2,FALSE),"")</f>
        <v/>
      </c>
      <c r="K98" s="246"/>
      <c r="M98" s="249"/>
      <c r="U98" s="255"/>
    </row>
    <row r="99" spans="2:21">
      <c r="B99" s="234">
        <v>96</v>
      </c>
      <c r="C99" s="235"/>
      <c r="D99" s="236"/>
      <c r="E99" s="237"/>
      <c r="F99" s="238"/>
      <c r="G99" s="236"/>
      <c r="H99" s="2">
        <f t="shared" si="2"/>
        <v>0</v>
      </c>
      <c r="I99" s="245" t="str">
        <f>IFERROR(VLOOKUP(D99,勘定科目!$B$2:$D$124,2,FALSE),"")</f>
        <v/>
      </c>
      <c r="J99" s="245" t="str">
        <f>IFERROR(VLOOKUP(G99,勘定科目!$B$2:$D$124,2,FALSE),"")</f>
        <v/>
      </c>
      <c r="K99" s="246"/>
      <c r="M99" s="249"/>
      <c r="U99" s="255"/>
    </row>
    <row r="100" spans="2:21">
      <c r="B100" s="234">
        <v>97</v>
      </c>
      <c r="C100" s="235"/>
      <c r="D100" s="236"/>
      <c r="E100" s="237"/>
      <c r="F100" s="238"/>
      <c r="G100" s="236"/>
      <c r="H100" s="2">
        <f t="shared" si="2"/>
        <v>0</v>
      </c>
      <c r="I100" s="245" t="str">
        <f>IFERROR(VLOOKUP(D100,勘定科目!$B$2:$D$124,2,FALSE),"")</f>
        <v/>
      </c>
      <c r="J100" s="245" t="str">
        <f>IFERROR(VLOOKUP(G100,勘定科目!$B$2:$D$124,2,FALSE),"")</f>
        <v/>
      </c>
      <c r="K100" s="246"/>
      <c r="M100" s="249"/>
      <c r="U100" s="255"/>
    </row>
    <row r="101" spans="2:21">
      <c r="B101" s="234">
        <v>98</v>
      </c>
      <c r="C101" s="235"/>
      <c r="D101" s="236"/>
      <c r="E101" s="237"/>
      <c r="F101" s="238"/>
      <c r="G101" s="236"/>
      <c r="H101" s="2">
        <f t="shared" si="2"/>
        <v>0</v>
      </c>
      <c r="I101" s="245" t="str">
        <f>IFERROR(VLOOKUP(D101,勘定科目!$B$2:$D$124,2,FALSE),"")</f>
        <v/>
      </c>
      <c r="J101" s="245" t="str">
        <f>IFERROR(VLOOKUP(G101,勘定科目!$B$2:$D$124,2,FALSE),"")</f>
        <v/>
      </c>
      <c r="K101" s="246"/>
      <c r="M101" s="249"/>
      <c r="U101" s="255"/>
    </row>
    <row r="102" spans="2:21">
      <c r="B102" s="234">
        <v>99</v>
      </c>
      <c r="C102" s="235"/>
      <c r="D102" s="236"/>
      <c r="E102" s="237"/>
      <c r="F102" s="238"/>
      <c r="G102" s="236"/>
      <c r="H102" s="2">
        <f t="shared" si="2"/>
        <v>0</v>
      </c>
      <c r="I102" s="245" t="str">
        <f>IFERROR(VLOOKUP(D102,勘定科目!$B$2:$D$124,2,FALSE),"")</f>
        <v/>
      </c>
      <c r="J102" s="245" t="str">
        <f>IFERROR(VLOOKUP(G102,勘定科目!$B$2:$D$124,2,FALSE),"")</f>
        <v/>
      </c>
      <c r="K102" s="246"/>
      <c r="M102" s="249"/>
      <c r="U102" s="255"/>
    </row>
    <row r="103" ht="16.95" spans="2:21">
      <c r="B103" s="257">
        <v>100</v>
      </c>
      <c r="C103" s="258"/>
      <c r="D103" s="259"/>
      <c r="E103" s="260"/>
      <c r="F103" s="261"/>
      <c r="G103" s="259"/>
      <c r="H103" s="262">
        <f t="shared" si="2"/>
        <v>0</v>
      </c>
      <c r="I103" s="263" t="str">
        <f>IFERROR(VLOOKUP(D103,勘定科目!$B$2:$D$124,2,FALSE),"")</f>
        <v/>
      </c>
      <c r="J103" s="263" t="str">
        <f>IFERROR(VLOOKUP(G103,勘定科目!$B$2:$D$124,2,FALSE),"")</f>
        <v/>
      </c>
      <c r="K103" s="264"/>
      <c r="M103" s="265"/>
      <c r="N103" s="266"/>
      <c r="O103" s="266"/>
      <c r="P103" s="266"/>
      <c r="Q103" s="266"/>
      <c r="R103" s="266"/>
      <c r="S103" s="266"/>
      <c r="T103" s="266"/>
      <c r="U103" s="267"/>
    </row>
    <row r="104" spans="2:11">
      <c r="B104" s="234">
        <v>101</v>
      </c>
      <c r="C104" s="235"/>
      <c r="D104" s="236"/>
      <c r="E104" s="237"/>
      <c r="F104" s="238"/>
      <c r="G104" s="236"/>
      <c r="H104" s="2">
        <f t="shared" ref="H104:H120" si="3">E104</f>
        <v>0</v>
      </c>
      <c r="I104" s="245" t="str">
        <f>IFERROR(VLOOKUP(D104,勘定科目!$B$2:$D$124,2,FALSE),"")</f>
        <v/>
      </c>
      <c r="J104" s="245" t="str">
        <f>IFERROR(VLOOKUP(G104,勘定科目!$B$2:$D$124,2,FALSE),"")</f>
        <v/>
      </c>
      <c r="K104" s="246"/>
    </row>
    <row r="105" spans="2:11">
      <c r="B105" s="234">
        <v>102</v>
      </c>
      <c r="C105" s="235"/>
      <c r="D105" s="236"/>
      <c r="E105" s="237"/>
      <c r="F105" s="238"/>
      <c r="G105" s="236"/>
      <c r="H105" s="2">
        <f t="shared" si="3"/>
        <v>0</v>
      </c>
      <c r="I105" s="245" t="str">
        <f>IFERROR(VLOOKUP(D105,勘定科目!$B$2:$D$124,2,FALSE),"")</f>
        <v/>
      </c>
      <c r="J105" s="245" t="str">
        <f>IFERROR(VLOOKUP(G105,勘定科目!$B$2:$D$124,2,FALSE),"")</f>
        <v/>
      </c>
      <c r="K105" s="246"/>
    </row>
    <row r="106" ht="16.95" spans="2:11">
      <c r="B106" s="257">
        <v>103</v>
      </c>
      <c r="C106" s="258"/>
      <c r="D106" s="259"/>
      <c r="E106" s="260"/>
      <c r="F106" s="261"/>
      <c r="G106" s="259"/>
      <c r="H106" s="262">
        <f t="shared" si="3"/>
        <v>0</v>
      </c>
      <c r="I106" s="263" t="str">
        <f>IFERROR(VLOOKUP(D106,勘定科目!$B$2:$D$124,2,FALSE),"")</f>
        <v/>
      </c>
      <c r="J106" s="263" t="str">
        <f>IFERROR(VLOOKUP(G106,勘定科目!$B$2:$D$124,2,FALSE),"")</f>
        <v/>
      </c>
      <c r="K106" s="264"/>
    </row>
    <row r="107" spans="2:11">
      <c r="B107" s="234">
        <v>104</v>
      </c>
      <c r="C107" s="235"/>
      <c r="D107" s="236"/>
      <c r="E107" s="237"/>
      <c r="F107" s="238"/>
      <c r="G107" s="236"/>
      <c r="H107" s="2">
        <f t="shared" si="3"/>
        <v>0</v>
      </c>
      <c r="I107" s="245" t="str">
        <f>IFERROR(VLOOKUP(D107,勘定科目!$B$2:$D$124,2,FALSE),"")</f>
        <v/>
      </c>
      <c r="J107" s="245" t="str">
        <f>IFERROR(VLOOKUP(G107,勘定科目!$B$2:$D$124,2,FALSE),"")</f>
        <v/>
      </c>
      <c r="K107" s="246"/>
    </row>
    <row r="108" spans="2:11">
      <c r="B108" s="234">
        <v>105</v>
      </c>
      <c r="C108" s="235"/>
      <c r="D108" s="236"/>
      <c r="E108" s="237"/>
      <c r="F108" s="238"/>
      <c r="G108" s="236"/>
      <c r="H108" s="2">
        <f t="shared" si="3"/>
        <v>0</v>
      </c>
      <c r="I108" s="245" t="str">
        <f>IFERROR(VLOOKUP(D108,勘定科目!$B$2:$D$124,2,FALSE),"")</f>
        <v/>
      </c>
      <c r="J108" s="245" t="str">
        <f>IFERROR(VLOOKUP(G108,勘定科目!$B$2:$D$124,2,FALSE),"")</f>
        <v/>
      </c>
      <c r="K108" s="246"/>
    </row>
    <row r="109" ht="16.95" spans="2:11">
      <c r="B109" s="257">
        <v>106</v>
      </c>
      <c r="C109" s="258"/>
      <c r="D109" s="259"/>
      <c r="E109" s="260"/>
      <c r="F109" s="261"/>
      <c r="G109" s="259"/>
      <c r="H109" s="262">
        <f t="shared" si="3"/>
        <v>0</v>
      </c>
      <c r="I109" s="263" t="str">
        <f>IFERROR(VLOOKUP(D109,勘定科目!$B$2:$D$124,2,FALSE),"")</f>
        <v/>
      </c>
      <c r="J109" s="263" t="str">
        <f>IFERROR(VLOOKUP(G109,勘定科目!$B$2:$D$124,2,FALSE),"")</f>
        <v/>
      </c>
      <c r="K109" s="264"/>
    </row>
    <row r="110" spans="2:11">
      <c r="B110" s="234">
        <v>107</v>
      </c>
      <c r="C110" s="235"/>
      <c r="D110" s="236"/>
      <c r="E110" s="237"/>
      <c r="F110" s="238"/>
      <c r="G110" s="236"/>
      <c r="H110" s="2">
        <f t="shared" si="3"/>
        <v>0</v>
      </c>
      <c r="I110" s="245" t="str">
        <f>IFERROR(VLOOKUP(D110,勘定科目!$B$2:$D$124,2,FALSE),"")</f>
        <v/>
      </c>
      <c r="J110" s="245" t="str">
        <f>IFERROR(VLOOKUP(G110,勘定科目!$B$2:$D$124,2,FALSE),"")</f>
        <v/>
      </c>
      <c r="K110" s="246"/>
    </row>
    <row r="111" spans="2:11">
      <c r="B111" s="234">
        <v>108</v>
      </c>
      <c r="C111" s="235"/>
      <c r="D111" s="236"/>
      <c r="E111" s="237"/>
      <c r="F111" s="238"/>
      <c r="G111" s="236"/>
      <c r="H111" s="2">
        <f t="shared" si="3"/>
        <v>0</v>
      </c>
      <c r="I111" s="245" t="str">
        <f>IFERROR(VLOOKUP(D111,勘定科目!$B$2:$D$124,2,FALSE),"")</f>
        <v/>
      </c>
      <c r="J111" s="245" t="str">
        <f>IFERROR(VLOOKUP(G111,勘定科目!$B$2:$D$124,2,FALSE),"")</f>
        <v/>
      </c>
      <c r="K111" s="246"/>
    </row>
    <row r="112" ht="16.95" spans="2:11">
      <c r="B112" s="257">
        <v>109</v>
      </c>
      <c r="C112" s="258"/>
      <c r="D112" s="259"/>
      <c r="E112" s="260"/>
      <c r="F112" s="261"/>
      <c r="G112" s="259"/>
      <c r="H112" s="262">
        <f t="shared" si="3"/>
        <v>0</v>
      </c>
      <c r="I112" s="263" t="str">
        <f>IFERROR(VLOOKUP(D112,勘定科目!$B$2:$D$124,2,FALSE),"")</f>
        <v/>
      </c>
      <c r="J112" s="263" t="str">
        <f>IFERROR(VLOOKUP(G112,勘定科目!$B$2:$D$124,2,FALSE),"")</f>
        <v/>
      </c>
      <c r="K112" s="264"/>
    </row>
    <row r="113" spans="2:11">
      <c r="B113" s="234">
        <v>110</v>
      </c>
      <c r="C113" s="235"/>
      <c r="D113" s="236"/>
      <c r="E113" s="237"/>
      <c r="F113" s="238"/>
      <c r="G113" s="236"/>
      <c r="H113" s="2">
        <f t="shared" si="3"/>
        <v>0</v>
      </c>
      <c r="I113" s="245" t="str">
        <f>IFERROR(VLOOKUP(D113,勘定科目!$B$2:$D$124,2,FALSE),"")</f>
        <v/>
      </c>
      <c r="J113" s="245" t="str">
        <f>IFERROR(VLOOKUP(G113,勘定科目!$B$2:$D$124,2,FALSE),"")</f>
        <v/>
      </c>
      <c r="K113" s="246"/>
    </row>
    <row r="114" spans="2:11">
      <c r="B114" s="234">
        <v>111</v>
      </c>
      <c r="C114" s="235"/>
      <c r="D114" s="236"/>
      <c r="E114" s="237"/>
      <c r="F114" s="238"/>
      <c r="G114" s="236"/>
      <c r="H114" s="2">
        <f t="shared" si="3"/>
        <v>0</v>
      </c>
      <c r="I114" s="245" t="str">
        <f>IFERROR(VLOOKUP(D114,勘定科目!$B$2:$D$124,2,FALSE),"")</f>
        <v/>
      </c>
      <c r="J114" s="245" t="str">
        <f>IFERROR(VLOOKUP(G114,勘定科目!$B$2:$D$124,2,FALSE),"")</f>
        <v/>
      </c>
      <c r="K114" s="246"/>
    </row>
    <row r="115" ht="16.95" spans="2:11">
      <c r="B115" s="257">
        <v>112</v>
      </c>
      <c r="C115" s="258"/>
      <c r="D115" s="259"/>
      <c r="E115" s="260"/>
      <c r="F115" s="261"/>
      <c r="G115" s="259"/>
      <c r="H115" s="262">
        <f t="shared" si="3"/>
        <v>0</v>
      </c>
      <c r="I115" s="263" t="str">
        <f>IFERROR(VLOOKUP(D115,勘定科目!$B$2:$D$124,2,FALSE),"")</f>
        <v/>
      </c>
      <c r="J115" s="263" t="str">
        <f>IFERROR(VLOOKUP(G115,勘定科目!$B$2:$D$124,2,FALSE),"")</f>
        <v/>
      </c>
      <c r="K115" s="264"/>
    </row>
    <row r="116" spans="2:11">
      <c r="B116" s="234">
        <v>113</v>
      </c>
      <c r="C116" s="235"/>
      <c r="D116" s="236"/>
      <c r="E116" s="237"/>
      <c r="F116" s="238"/>
      <c r="G116" s="236"/>
      <c r="H116" s="2">
        <f t="shared" si="3"/>
        <v>0</v>
      </c>
      <c r="I116" s="245" t="str">
        <f>IFERROR(VLOOKUP(D116,勘定科目!$B$2:$D$124,2,FALSE),"")</f>
        <v/>
      </c>
      <c r="J116" s="245" t="str">
        <f>IFERROR(VLOOKUP(G116,勘定科目!$B$2:$D$124,2,FALSE),"")</f>
        <v/>
      </c>
      <c r="K116" s="246"/>
    </row>
    <row r="117" spans="2:11">
      <c r="B117" s="234">
        <v>114</v>
      </c>
      <c r="C117" s="235"/>
      <c r="D117" s="236"/>
      <c r="E117" s="237"/>
      <c r="F117" s="238"/>
      <c r="G117" s="236"/>
      <c r="H117" s="2">
        <f t="shared" si="3"/>
        <v>0</v>
      </c>
      <c r="I117" s="245" t="str">
        <f>IFERROR(VLOOKUP(D117,勘定科目!$B$2:$D$124,2,FALSE),"")</f>
        <v/>
      </c>
      <c r="J117" s="245" t="str">
        <f>IFERROR(VLOOKUP(G117,勘定科目!$B$2:$D$124,2,FALSE),"")</f>
        <v/>
      </c>
      <c r="K117" s="246"/>
    </row>
    <row r="118" ht="16.95" spans="2:11">
      <c r="B118" s="257">
        <v>115</v>
      </c>
      <c r="C118" s="258"/>
      <c r="D118" s="259"/>
      <c r="E118" s="260"/>
      <c r="F118" s="261"/>
      <c r="G118" s="259"/>
      <c r="H118" s="262">
        <f t="shared" si="3"/>
        <v>0</v>
      </c>
      <c r="I118" s="263" t="str">
        <f>IFERROR(VLOOKUP(D118,勘定科目!$B$2:$D$124,2,FALSE),"")</f>
        <v/>
      </c>
      <c r="J118" s="263" t="str">
        <f>IFERROR(VLOOKUP(G118,勘定科目!$B$2:$D$124,2,FALSE),"")</f>
        <v/>
      </c>
      <c r="K118" s="264"/>
    </row>
    <row r="119" spans="2:11">
      <c r="B119" s="234">
        <v>116</v>
      </c>
      <c r="C119" s="235"/>
      <c r="D119" s="236"/>
      <c r="E119" s="237"/>
      <c r="F119" s="238"/>
      <c r="G119" s="236"/>
      <c r="H119" s="2">
        <f t="shared" si="3"/>
        <v>0</v>
      </c>
      <c r="I119" s="245" t="str">
        <f>IFERROR(VLOOKUP(D119,勘定科目!$B$2:$D$124,2,FALSE),"")</f>
        <v/>
      </c>
      <c r="J119" s="245" t="str">
        <f>IFERROR(VLOOKUP(G119,勘定科目!$B$2:$D$124,2,FALSE),"")</f>
        <v/>
      </c>
      <c r="K119" s="246"/>
    </row>
    <row r="120" spans="2:11">
      <c r="B120" s="234">
        <v>117</v>
      </c>
      <c r="C120" s="235"/>
      <c r="D120" s="236"/>
      <c r="E120" s="237"/>
      <c r="F120" s="238"/>
      <c r="G120" s="236"/>
      <c r="H120" s="2">
        <f t="shared" si="3"/>
        <v>0</v>
      </c>
      <c r="I120" s="245" t="str">
        <f>IFERROR(VLOOKUP(D120,勘定科目!$B$2:$D$124,2,FALSE),"")</f>
        <v/>
      </c>
      <c r="J120" s="245" t="str">
        <f>IFERROR(VLOOKUP(G120,勘定科目!$B$2:$D$124,2,FALSE),"")</f>
        <v/>
      </c>
      <c r="K120" s="246"/>
    </row>
    <row r="121" spans="2:11">
      <c r="B121" s="234">
        <v>118</v>
      </c>
      <c r="C121" s="235"/>
      <c r="D121" s="236"/>
      <c r="E121" s="237"/>
      <c r="F121" s="238"/>
      <c r="G121" s="236"/>
      <c r="H121" s="2">
        <f t="shared" ref="H121:H138" si="4">E121</f>
        <v>0</v>
      </c>
      <c r="I121" s="245" t="str">
        <f>IFERROR(VLOOKUP(D121,勘定科目!$B$2:$D$124,2,FALSE),"")</f>
        <v/>
      </c>
      <c r="J121" s="245" t="str">
        <f>IFERROR(VLOOKUP(G121,勘定科目!$B$2:$D$124,2,FALSE),"")</f>
        <v/>
      </c>
      <c r="K121" s="246"/>
    </row>
    <row r="122" spans="2:11">
      <c r="B122" s="234">
        <v>119</v>
      </c>
      <c r="C122" s="235"/>
      <c r="D122" s="236"/>
      <c r="E122" s="237"/>
      <c r="F122" s="238"/>
      <c r="G122" s="236"/>
      <c r="H122" s="2">
        <f t="shared" si="4"/>
        <v>0</v>
      </c>
      <c r="I122" s="245" t="str">
        <f>IFERROR(VLOOKUP(D122,勘定科目!$B$2:$D$124,2,FALSE),"")</f>
        <v/>
      </c>
      <c r="J122" s="245" t="str">
        <f>IFERROR(VLOOKUP(G122,勘定科目!$B$2:$D$124,2,FALSE),"")</f>
        <v/>
      </c>
      <c r="K122" s="246"/>
    </row>
    <row r="123" ht="16.95" spans="2:11">
      <c r="B123" s="257">
        <v>120</v>
      </c>
      <c r="C123" s="258"/>
      <c r="D123" s="259"/>
      <c r="E123" s="260"/>
      <c r="F123" s="261"/>
      <c r="G123" s="259"/>
      <c r="H123" s="262">
        <f t="shared" si="4"/>
        <v>0</v>
      </c>
      <c r="I123" s="263" t="str">
        <f>IFERROR(VLOOKUP(D123,勘定科目!$B$2:$D$124,2,FALSE),"")</f>
        <v/>
      </c>
      <c r="J123" s="263" t="str">
        <f>IFERROR(VLOOKUP(G123,勘定科目!$B$2:$D$124,2,FALSE),"")</f>
        <v/>
      </c>
      <c r="K123" s="264"/>
    </row>
    <row r="124" spans="2:11">
      <c r="B124" s="234">
        <v>121</v>
      </c>
      <c r="C124" s="235"/>
      <c r="D124" s="236"/>
      <c r="E124" s="237"/>
      <c r="F124" s="238"/>
      <c r="G124" s="236"/>
      <c r="H124" s="2">
        <f t="shared" si="4"/>
        <v>0</v>
      </c>
      <c r="I124" s="245" t="str">
        <f>IFERROR(VLOOKUP(D124,勘定科目!$B$2:$D$124,2,FALSE),"")</f>
        <v/>
      </c>
      <c r="J124" s="245" t="str">
        <f>IFERROR(VLOOKUP(G124,勘定科目!$B$2:$D$124,2,FALSE),"")</f>
        <v/>
      </c>
      <c r="K124" s="246"/>
    </row>
    <row r="125" spans="2:11">
      <c r="B125" s="234">
        <v>122</v>
      </c>
      <c r="C125" s="235"/>
      <c r="D125" s="236"/>
      <c r="E125" s="237"/>
      <c r="F125" s="238"/>
      <c r="G125" s="236"/>
      <c r="H125" s="2">
        <f t="shared" si="4"/>
        <v>0</v>
      </c>
      <c r="I125" s="245" t="str">
        <f>IFERROR(VLOOKUP(D125,勘定科目!$B$2:$D$124,2,FALSE),"")</f>
        <v/>
      </c>
      <c r="J125" s="245" t="str">
        <f>IFERROR(VLOOKUP(G125,勘定科目!$B$2:$D$124,2,FALSE),"")</f>
        <v/>
      </c>
      <c r="K125" s="246"/>
    </row>
    <row r="126" spans="2:11">
      <c r="B126" s="234">
        <v>123</v>
      </c>
      <c r="C126" s="235"/>
      <c r="D126" s="236"/>
      <c r="E126" s="237"/>
      <c r="F126" s="238"/>
      <c r="G126" s="236"/>
      <c r="H126" s="2">
        <f t="shared" si="4"/>
        <v>0</v>
      </c>
      <c r="I126" s="245" t="str">
        <f>IFERROR(VLOOKUP(D126,勘定科目!$B$2:$D$124,2,FALSE),"")</f>
        <v/>
      </c>
      <c r="J126" s="245" t="str">
        <f>IFERROR(VLOOKUP(G126,勘定科目!$B$2:$D$124,2,FALSE),"")</f>
        <v/>
      </c>
      <c r="K126" s="246"/>
    </row>
    <row r="127" spans="2:11">
      <c r="B127" s="234">
        <v>124</v>
      </c>
      <c r="C127" s="235"/>
      <c r="D127" s="236"/>
      <c r="E127" s="237"/>
      <c r="F127" s="238"/>
      <c r="G127" s="236"/>
      <c r="H127" s="2">
        <f t="shared" si="4"/>
        <v>0</v>
      </c>
      <c r="I127" s="245" t="str">
        <f>IFERROR(VLOOKUP(D127,勘定科目!$B$2:$D$124,2,FALSE),"")</f>
        <v/>
      </c>
      <c r="J127" s="245" t="str">
        <f>IFERROR(VLOOKUP(G127,勘定科目!$B$2:$D$124,2,FALSE),"")</f>
        <v/>
      </c>
      <c r="K127" s="246"/>
    </row>
    <row r="128" ht="16.95" spans="2:11">
      <c r="B128" s="257">
        <v>125</v>
      </c>
      <c r="C128" s="258"/>
      <c r="D128" s="259"/>
      <c r="E128" s="260"/>
      <c r="F128" s="261"/>
      <c r="G128" s="259"/>
      <c r="H128" s="262">
        <f t="shared" si="4"/>
        <v>0</v>
      </c>
      <c r="I128" s="263" t="str">
        <f>IFERROR(VLOOKUP(D128,勘定科目!$B$2:$D$124,2,FALSE),"")</f>
        <v/>
      </c>
      <c r="J128" s="263" t="str">
        <f>IFERROR(VLOOKUP(G128,勘定科目!$B$2:$D$124,2,FALSE),"")</f>
        <v/>
      </c>
      <c r="K128" s="264"/>
    </row>
    <row r="129" spans="2:11">
      <c r="B129" s="234">
        <v>126</v>
      </c>
      <c r="C129" s="235"/>
      <c r="D129" s="236"/>
      <c r="E129" s="237"/>
      <c r="F129" s="238"/>
      <c r="G129" s="236"/>
      <c r="H129" s="2">
        <f t="shared" si="4"/>
        <v>0</v>
      </c>
      <c r="I129" s="245" t="str">
        <f>IFERROR(VLOOKUP(D129,勘定科目!$B$2:$D$124,2,FALSE),"")</f>
        <v/>
      </c>
      <c r="J129" s="245" t="str">
        <f>IFERROR(VLOOKUP(G129,勘定科目!$B$2:$D$124,2,FALSE),"")</f>
        <v/>
      </c>
      <c r="K129" s="246"/>
    </row>
    <row r="130" spans="2:11">
      <c r="B130" s="234">
        <v>127</v>
      </c>
      <c r="C130" s="235"/>
      <c r="D130" s="236"/>
      <c r="E130" s="237"/>
      <c r="F130" s="238"/>
      <c r="G130" s="236"/>
      <c r="H130" s="2">
        <f t="shared" si="4"/>
        <v>0</v>
      </c>
      <c r="I130" s="245" t="str">
        <f>IFERROR(VLOOKUP(D130,勘定科目!$B$2:$D$124,2,FALSE),"")</f>
        <v/>
      </c>
      <c r="J130" s="245" t="str">
        <f>IFERROR(VLOOKUP(G130,勘定科目!$B$2:$D$124,2,FALSE),"")</f>
        <v/>
      </c>
      <c r="K130" s="246"/>
    </row>
    <row r="131" spans="2:11">
      <c r="B131" s="234">
        <v>128</v>
      </c>
      <c r="C131" s="235"/>
      <c r="D131" s="236"/>
      <c r="E131" s="237"/>
      <c r="F131" s="238"/>
      <c r="G131" s="236"/>
      <c r="H131" s="2">
        <f t="shared" si="4"/>
        <v>0</v>
      </c>
      <c r="I131" s="245" t="str">
        <f>IFERROR(VLOOKUP(D131,勘定科目!$B$2:$D$124,2,FALSE),"")</f>
        <v/>
      </c>
      <c r="J131" s="245" t="str">
        <f>IFERROR(VLOOKUP(G131,勘定科目!$B$2:$D$124,2,FALSE),"")</f>
        <v/>
      </c>
      <c r="K131" s="246"/>
    </row>
    <row r="132" spans="2:11">
      <c r="B132" s="234">
        <v>129</v>
      </c>
      <c r="C132" s="235"/>
      <c r="D132" s="236"/>
      <c r="E132" s="237"/>
      <c r="F132" s="238"/>
      <c r="G132" s="236"/>
      <c r="H132" s="2">
        <f t="shared" si="4"/>
        <v>0</v>
      </c>
      <c r="I132" s="245" t="str">
        <f>IFERROR(VLOOKUP(D132,勘定科目!$B$2:$D$124,2,FALSE),"")</f>
        <v/>
      </c>
      <c r="J132" s="245" t="str">
        <f>IFERROR(VLOOKUP(G132,勘定科目!$B$2:$D$124,2,FALSE),"")</f>
        <v/>
      </c>
      <c r="K132" s="246"/>
    </row>
    <row r="133" ht="16.95" spans="2:11">
      <c r="B133" s="257">
        <v>130</v>
      </c>
      <c r="C133" s="258"/>
      <c r="D133" s="259"/>
      <c r="E133" s="260"/>
      <c r="F133" s="261"/>
      <c r="G133" s="259"/>
      <c r="H133" s="262">
        <f t="shared" si="4"/>
        <v>0</v>
      </c>
      <c r="I133" s="263" t="str">
        <f>IFERROR(VLOOKUP(D133,勘定科目!$B$2:$D$124,2,FALSE),"")</f>
        <v/>
      </c>
      <c r="J133" s="263" t="str">
        <f>IFERROR(VLOOKUP(G133,勘定科目!$B$2:$D$124,2,FALSE),"")</f>
        <v/>
      </c>
      <c r="K133" s="264"/>
    </row>
    <row r="134" spans="2:11">
      <c r="B134" s="234">
        <v>131</v>
      </c>
      <c r="C134" s="235"/>
      <c r="D134" s="236"/>
      <c r="E134" s="237"/>
      <c r="F134" s="238"/>
      <c r="G134" s="236"/>
      <c r="H134" s="2">
        <f t="shared" si="4"/>
        <v>0</v>
      </c>
      <c r="I134" s="245" t="str">
        <f>IFERROR(VLOOKUP(D134,勘定科目!$B$2:$D$124,2,FALSE),"")</f>
        <v/>
      </c>
      <c r="J134" s="245" t="str">
        <f>IFERROR(VLOOKUP(G134,勘定科目!$B$2:$D$124,2,FALSE),"")</f>
        <v/>
      </c>
      <c r="K134" s="246"/>
    </row>
    <row r="135" spans="2:11">
      <c r="B135" s="234">
        <v>132</v>
      </c>
      <c r="C135" s="235"/>
      <c r="D135" s="236"/>
      <c r="E135" s="237"/>
      <c r="F135" s="238"/>
      <c r="G135" s="236"/>
      <c r="H135" s="2">
        <f t="shared" si="4"/>
        <v>0</v>
      </c>
      <c r="I135" s="245" t="str">
        <f>IFERROR(VLOOKUP(D135,勘定科目!$B$2:$D$124,2,FALSE),"")</f>
        <v/>
      </c>
      <c r="J135" s="245" t="str">
        <f>IFERROR(VLOOKUP(G135,勘定科目!$B$2:$D$124,2,FALSE),"")</f>
        <v/>
      </c>
      <c r="K135" s="246"/>
    </row>
    <row r="136" spans="2:11">
      <c r="B136" s="234">
        <v>133</v>
      </c>
      <c r="C136" s="235"/>
      <c r="D136" s="236"/>
      <c r="E136" s="237"/>
      <c r="F136" s="238"/>
      <c r="G136" s="236"/>
      <c r="H136" s="2">
        <f t="shared" si="4"/>
        <v>0</v>
      </c>
      <c r="I136" s="245" t="str">
        <f>IFERROR(VLOOKUP(D136,勘定科目!$B$2:$D$124,2,FALSE),"")</f>
        <v/>
      </c>
      <c r="J136" s="245" t="str">
        <f>IFERROR(VLOOKUP(G136,勘定科目!$B$2:$D$124,2,FALSE),"")</f>
        <v/>
      </c>
      <c r="K136" s="246"/>
    </row>
    <row r="137" spans="2:11">
      <c r="B137" s="234">
        <v>134</v>
      </c>
      <c r="C137" s="235"/>
      <c r="D137" s="236"/>
      <c r="E137" s="237"/>
      <c r="F137" s="238"/>
      <c r="G137" s="236"/>
      <c r="H137" s="2">
        <f t="shared" si="4"/>
        <v>0</v>
      </c>
      <c r="I137" s="245" t="str">
        <f>IFERROR(VLOOKUP(D137,勘定科目!$B$2:$D$124,2,FALSE),"")</f>
        <v/>
      </c>
      <c r="J137" s="245" t="str">
        <f>IFERROR(VLOOKUP(G137,勘定科目!$B$2:$D$124,2,FALSE),"")</f>
        <v/>
      </c>
      <c r="K137" s="246"/>
    </row>
    <row r="138" ht="16.95" spans="2:11">
      <c r="B138" s="257">
        <v>135</v>
      </c>
      <c r="C138" s="258"/>
      <c r="D138" s="259"/>
      <c r="E138" s="260"/>
      <c r="F138" s="261"/>
      <c r="G138" s="259"/>
      <c r="H138" s="262">
        <f t="shared" si="4"/>
        <v>0</v>
      </c>
      <c r="I138" s="263" t="str">
        <f>IFERROR(VLOOKUP(D138,勘定科目!$B$2:$D$124,2,FALSE),"")</f>
        <v/>
      </c>
      <c r="J138" s="263" t="str">
        <f>IFERROR(VLOOKUP(G138,勘定科目!$B$2:$D$124,2,FALSE),"")</f>
        <v/>
      </c>
      <c r="K138" s="264"/>
    </row>
  </sheetData>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P23"/>
  <sheetViews>
    <sheetView workbookViewId="0">
      <selection activeCell="C2" sqref="C2"/>
    </sheetView>
  </sheetViews>
  <sheetFormatPr defaultColWidth="8.88888888888889" defaultRowHeight="16.2"/>
  <cols>
    <col min="1" max="1" width="2.47222222222222" style="111" customWidth="1"/>
    <col min="2" max="2" width="2.55555555555556" style="111" customWidth="1"/>
    <col min="3" max="3" width="15.8888888888889" style="111" customWidth="1"/>
    <col min="4" max="4" width="3.77777777777778" style="175" customWidth="1"/>
    <col min="5" max="5" width="25.7777777777778" style="111" customWidth="1"/>
    <col min="6" max="6" width="3.55555555555556" style="111" customWidth="1"/>
    <col min="7" max="7" width="3.11111111111111" style="111" customWidth="1"/>
    <col min="8" max="8" width="19.7777777777778" style="111" customWidth="1"/>
    <col min="9" max="9" width="4.55555555555556" style="176" customWidth="1"/>
    <col min="10" max="10" width="26.3703703703704" style="111" customWidth="1"/>
    <col min="11" max="11" width="3.55555555555556" style="111" customWidth="1"/>
    <col min="12" max="13" width="3.22222222222222" style="111" customWidth="1"/>
    <col min="14" max="14" width="19" style="111" customWidth="1"/>
    <col min="15" max="15" width="5.66666666666667" style="175" customWidth="1"/>
    <col min="16" max="16" width="22.2222222222222" style="111" customWidth="1"/>
    <col min="17" max="16384" width="8.88888888888889" style="111"/>
  </cols>
  <sheetData>
    <row r="1" ht="21" spans="3:16">
      <c r="C1" s="177" t="s">
        <v>156</v>
      </c>
      <c r="D1" s="178"/>
      <c r="E1" s="11" t="s">
        <v>157</v>
      </c>
      <c r="H1" s="124"/>
      <c r="I1" s="203"/>
      <c r="J1" s="124"/>
      <c r="K1" s="124"/>
      <c r="L1" s="124"/>
      <c r="M1" s="124"/>
      <c r="N1" s="124"/>
      <c r="O1" s="204"/>
      <c r="P1" s="124"/>
    </row>
    <row r="2" ht="36" customHeight="1" spans="6:16">
      <c r="F2" s="179" t="s">
        <v>158</v>
      </c>
      <c r="G2" s="180"/>
      <c r="H2" s="181"/>
      <c r="I2" s="205"/>
      <c r="J2" s="184"/>
      <c r="K2" s="206" t="s">
        <v>159</v>
      </c>
      <c r="L2" s="154"/>
      <c r="M2" s="166"/>
      <c r="N2" s="114"/>
      <c r="O2" s="207"/>
      <c r="P2" s="208"/>
    </row>
    <row r="3" ht="30" customHeight="1" spans="6:16">
      <c r="F3" s="182" t="s">
        <v>160</v>
      </c>
      <c r="G3" s="180"/>
      <c r="H3" s="181"/>
      <c r="I3" s="205"/>
      <c r="J3" s="184"/>
      <c r="K3" s="209" t="s">
        <v>161</v>
      </c>
      <c r="L3" s="124"/>
      <c r="M3" s="124"/>
      <c r="N3" s="168"/>
      <c r="O3" s="207"/>
      <c r="P3" s="208"/>
    </row>
    <row r="4" ht="22" customHeight="1" spans="6:16">
      <c r="F4" s="183" t="s">
        <v>162</v>
      </c>
      <c r="G4" s="180"/>
      <c r="H4" s="184"/>
      <c r="I4" s="210" t="s">
        <v>163</v>
      </c>
      <c r="J4" s="168"/>
      <c r="K4" s="211" t="s">
        <v>164</v>
      </c>
      <c r="L4" s="149"/>
      <c r="M4" s="164"/>
      <c r="N4" s="118"/>
      <c r="O4" s="207"/>
      <c r="P4" s="208"/>
    </row>
    <row r="5" spans="2:14">
      <c r="B5" s="185" t="s">
        <v>165</v>
      </c>
      <c r="C5" s="185"/>
      <c r="D5" s="186"/>
      <c r="E5" s="187" t="s">
        <v>166</v>
      </c>
      <c r="F5" s="187"/>
      <c r="G5" s="187"/>
      <c r="H5" s="187"/>
      <c r="I5" s="212"/>
      <c r="J5" s="187"/>
      <c r="K5" s="187"/>
      <c r="L5" s="187"/>
      <c r="M5" s="187"/>
      <c r="N5" s="187"/>
    </row>
    <row r="6" spans="2:16">
      <c r="B6" s="188" t="s">
        <v>167</v>
      </c>
      <c r="C6" s="188"/>
      <c r="D6" s="189"/>
      <c r="E6" s="134" t="s">
        <v>168</v>
      </c>
      <c r="G6" s="153" t="s">
        <v>167</v>
      </c>
      <c r="H6" s="154"/>
      <c r="I6" s="213"/>
      <c r="J6" s="134" t="s">
        <v>168</v>
      </c>
      <c r="L6" s="155" t="s">
        <v>167</v>
      </c>
      <c r="M6" s="156"/>
      <c r="N6" s="154"/>
      <c r="O6" s="213"/>
      <c r="P6" s="134" t="s">
        <v>168</v>
      </c>
    </row>
    <row r="7" ht="31" customHeight="1" spans="2:16">
      <c r="B7" s="190" t="s">
        <v>169</v>
      </c>
      <c r="C7" s="188"/>
      <c r="D7" s="191" t="s">
        <v>170</v>
      </c>
      <c r="E7" s="135">
        <f>SUMIF(仕訳帳!J:J,"売上（収入）",仕訳帳!E:E)-SUMIF(仕訳帳!I:I,"売上（収入）",仕訳帳!E:E)</f>
        <v>0</v>
      </c>
      <c r="G7" s="192" t="s">
        <v>171</v>
      </c>
      <c r="H7" s="134" t="s">
        <v>83</v>
      </c>
      <c r="I7" s="191" t="s">
        <v>172</v>
      </c>
      <c r="J7" s="135">
        <f>IF(H7="",0,SUMIF(仕訳帳!I:I,H7,仕訳帳!E:E)-SUMIF(仕訳帳!J:J,H7,仕訳帳!E:E))</f>
        <v>0</v>
      </c>
      <c r="L7" s="192" t="s">
        <v>173</v>
      </c>
      <c r="M7" s="192" t="s">
        <v>174</v>
      </c>
      <c r="N7" s="214" t="s">
        <v>120</v>
      </c>
      <c r="O7" s="191" t="s">
        <v>175</v>
      </c>
      <c r="P7" s="137"/>
    </row>
    <row r="8" ht="29" customHeight="1" spans="2:16">
      <c r="B8" s="193" t="s">
        <v>176</v>
      </c>
      <c r="C8" s="194" t="s">
        <v>177</v>
      </c>
      <c r="D8" s="191" t="s">
        <v>178</v>
      </c>
      <c r="E8" s="135">
        <f>IFERROR(INDEX(仕訳帳!H:H,MATCH("期首商品（製品)棚卸高",仕訳帳!I:I,0)),0)</f>
        <v>0</v>
      </c>
      <c r="G8" s="195"/>
      <c r="H8" s="194" t="s">
        <v>84</v>
      </c>
      <c r="I8" s="191" t="s">
        <v>179</v>
      </c>
      <c r="J8" s="135">
        <f>IF(H8="",0,SUMIF(仕訳帳!I:I,H8,仕訳帳!E:E)-SUMIF(仕訳帳!J:J,H8,仕訳帳!E:E))</f>
        <v>0</v>
      </c>
      <c r="L8" s="215" t="s">
        <v>180</v>
      </c>
      <c r="M8" s="195" t="s">
        <v>181</v>
      </c>
      <c r="N8" s="216"/>
      <c r="O8" s="191" t="s">
        <v>182</v>
      </c>
      <c r="P8" s="137"/>
    </row>
    <row r="9" ht="28" customHeight="1" spans="2:16">
      <c r="B9" s="196" t="s">
        <v>183</v>
      </c>
      <c r="C9" s="194" t="s">
        <v>184</v>
      </c>
      <c r="D9" s="191" t="s">
        <v>185</v>
      </c>
      <c r="E9" s="135">
        <f>SUMIF(仕訳帳!I:I,"仕入金額（製品製造原価）",仕訳帳!E:E)-SUMIF(仕訳帳!J:J,"仕入金額（製品製造原価）",仕訳帳!E:E)</f>
        <v>0</v>
      </c>
      <c r="G9" s="195"/>
      <c r="H9" s="134" t="s">
        <v>85</v>
      </c>
      <c r="I9" s="191" t="s">
        <v>186</v>
      </c>
      <c r="J9" s="135">
        <f>IF(H9="",0,SUMIF(仕訳帳!I:I,H9,仕訳帳!E:E)-SUMIF(仕訳帳!J:J,H9,仕訳帳!E:E))</f>
        <v>0</v>
      </c>
      <c r="L9" s="215" t="s">
        <v>187</v>
      </c>
      <c r="M9" s="195" t="s">
        <v>188</v>
      </c>
      <c r="N9" s="217"/>
      <c r="O9" s="191" t="s">
        <v>189</v>
      </c>
      <c r="P9" s="137"/>
    </row>
    <row r="10" ht="24" customHeight="1" spans="2:16">
      <c r="B10" s="196"/>
      <c r="C10" s="134" t="s">
        <v>190</v>
      </c>
      <c r="D10" s="191" t="s">
        <v>191</v>
      </c>
      <c r="E10" s="135">
        <f>SUM(E8:E9)</f>
        <v>0</v>
      </c>
      <c r="G10" s="195"/>
      <c r="H10" s="134" t="s">
        <v>86</v>
      </c>
      <c r="I10" s="191" t="s">
        <v>192</v>
      </c>
      <c r="J10" s="135">
        <f>IF(H10="",0,SUMIF(仕訳帳!I:I,H10,仕訳帳!E:E)-SUMIF(仕訳帳!J:J,H10,仕訳帳!E:E))</f>
        <v>0</v>
      </c>
      <c r="L10" s="215" t="s">
        <v>193</v>
      </c>
      <c r="M10" s="202" t="s">
        <v>194</v>
      </c>
      <c r="N10" s="214" t="s">
        <v>195</v>
      </c>
      <c r="O10" s="191" t="s">
        <v>196</v>
      </c>
      <c r="P10" s="138">
        <f>SUM(P7:P9)</f>
        <v>0</v>
      </c>
    </row>
    <row r="11" ht="26.4" spans="2:16">
      <c r="B11" s="196"/>
      <c r="C11" s="194" t="s">
        <v>197</v>
      </c>
      <c r="D11" s="191" t="s">
        <v>198</v>
      </c>
      <c r="E11" s="135">
        <f>IFERROR(INDEX(仕訳帳!H:H,MATCH("期末商品（製品)棚卸高",仕訳帳!J:J,0)),0)</f>
        <v>0</v>
      </c>
      <c r="G11" s="195"/>
      <c r="H11" s="194" t="s">
        <v>44</v>
      </c>
      <c r="I11" s="191" t="s">
        <v>199</v>
      </c>
      <c r="J11" s="135">
        <f>IF(H11="",0,SUMIF(仕訳帳!I:I,H11,仕訳帳!E:E)-SUMIF(仕訳帳!J:J,H11,仕訳帳!E:E))</f>
        <v>0</v>
      </c>
      <c r="L11" s="215" t="s">
        <v>200</v>
      </c>
      <c r="M11" s="218" t="s">
        <v>174</v>
      </c>
      <c r="N11" s="219" t="s">
        <v>92</v>
      </c>
      <c r="O11" s="191" t="s">
        <v>201</v>
      </c>
      <c r="P11" s="137"/>
    </row>
    <row r="12" ht="24" customHeight="1" spans="2:16">
      <c r="B12" s="197"/>
      <c r="C12" s="134" t="s">
        <v>202</v>
      </c>
      <c r="D12" s="191" t="s">
        <v>203</v>
      </c>
      <c r="E12" s="135">
        <f>E10-E11</f>
        <v>0</v>
      </c>
      <c r="G12" s="195"/>
      <c r="H12" s="134" t="s">
        <v>87</v>
      </c>
      <c r="I12" s="191" t="s">
        <v>204</v>
      </c>
      <c r="J12" s="135">
        <f>IF(H12="",0,SUMIF(仕訳帳!I:I,H12,仕訳帳!E:E)-SUMIF(仕訳帳!J:J,H12,仕訳帳!E:E))</f>
        <v>0</v>
      </c>
      <c r="L12" s="215" t="s">
        <v>205</v>
      </c>
      <c r="M12" s="218" t="s">
        <v>206</v>
      </c>
      <c r="N12" s="214" t="s">
        <v>120</v>
      </c>
      <c r="O12" s="191" t="s">
        <v>207</v>
      </c>
      <c r="P12" s="137"/>
    </row>
    <row r="13" ht="31" customHeight="1" spans="2:16">
      <c r="B13" s="198" t="s">
        <v>208</v>
      </c>
      <c r="C13" s="199"/>
      <c r="D13" s="191" t="s">
        <v>209</v>
      </c>
      <c r="E13" s="135">
        <f>E7-E12</f>
        <v>0</v>
      </c>
      <c r="G13" s="195"/>
      <c r="H13" s="194" t="s">
        <v>88</v>
      </c>
      <c r="I13" s="191" t="s">
        <v>210</v>
      </c>
      <c r="J13" s="135">
        <f>IF(H13="",0,SUMIF(仕訳帳!I:I,H13,仕訳帳!E:E)-SUMIF(仕訳帳!J:J,H13,仕訳帳!E:E))</f>
        <v>0</v>
      </c>
      <c r="L13" s="215" t="s">
        <v>211</v>
      </c>
      <c r="M13" s="218" t="s">
        <v>188</v>
      </c>
      <c r="N13" s="216"/>
      <c r="O13" s="191" t="s">
        <v>212</v>
      </c>
      <c r="P13" s="137"/>
    </row>
    <row r="14" ht="26.4" spans="2:16">
      <c r="B14" s="200" t="s">
        <v>171</v>
      </c>
      <c r="C14" s="134" t="s">
        <v>73</v>
      </c>
      <c r="D14" s="191" t="s">
        <v>213</v>
      </c>
      <c r="E14" s="135">
        <f>SUMIF(仕訳帳!I:I,C14,仕訳帳!E:E)-SUMIF(仕訳帳!J:J,C14,仕訳帳!E:E)</f>
        <v>0</v>
      </c>
      <c r="G14" s="195"/>
      <c r="H14" s="134" t="s">
        <v>89</v>
      </c>
      <c r="I14" s="191" t="s">
        <v>214</v>
      </c>
      <c r="J14" s="135">
        <f>IF(H14="",0,SUMIF(仕訳帳!I:I,H14,仕訳帳!E:E)-SUMIF(仕訳帳!J:J,H14,仕訳帳!E:E))</f>
        <v>0</v>
      </c>
      <c r="L14" s="215" t="s">
        <v>200</v>
      </c>
      <c r="M14" s="218" t="s">
        <v>194</v>
      </c>
      <c r="N14" s="217"/>
      <c r="O14" s="191" t="s">
        <v>215</v>
      </c>
      <c r="P14" s="137"/>
    </row>
    <row r="15" ht="25" customHeight="1" spans="2:16">
      <c r="B15" s="195"/>
      <c r="C15" s="134" t="s">
        <v>75</v>
      </c>
      <c r="D15" s="191" t="s">
        <v>216</v>
      </c>
      <c r="E15" s="135">
        <f>SUMIF(仕訳帳!I:I,C15,仕訳帳!E:E)-SUMIF(仕訳帳!J:J,C15,仕訳帳!E:E)</f>
        <v>0</v>
      </c>
      <c r="G15" s="195"/>
      <c r="H15" s="201"/>
      <c r="I15" s="191" t="s">
        <v>217</v>
      </c>
      <c r="J15" s="135">
        <f>IF(H15="",0,SUMIF(仕訳帳!I:I,H15,仕訳帳!E:E)-SUMIF(仕訳帳!J:J,H15,仕訳帳!E:E))</f>
        <v>0</v>
      </c>
      <c r="L15" s="215" t="s">
        <v>194</v>
      </c>
      <c r="M15" s="218"/>
      <c r="N15" s="220" t="s">
        <v>195</v>
      </c>
      <c r="O15" s="191" t="s">
        <v>218</v>
      </c>
      <c r="P15" s="138">
        <f>SUM(P11:P14)</f>
        <v>0</v>
      </c>
    </row>
    <row r="16" ht="30" customHeight="1" spans="2:16">
      <c r="B16" s="195"/>
      <c r="C16" s="134" t="s">
        <v>76</v>
      </c>
      <c r="D16" s="191" t="s">
        <v>219</v>
      </c>
      <c r="E16" s="135">
        <f>SUMIF(仕訳帳!I:I,C16,仕訳帳!E:E)-SUMIF(仕訳帳!J:J,C16,仕訳帳!E:E)</f>
        <v>0</v>
      </c>
      <c r="G16" s="195"/>
      <c r="H16" s="201"/>
      <c r="I16" s="191" t="s">
        <v>220</v>
      </c>
      <c r="J16" s="135">
        <f>IF(H16="",0,SUMIF(仕訳帳!I:I,H16,仕訳帳!E:E)-SUMIF(仕訳帳!J:J,H16,仕訳帳!E:E))</f>
        <v>0</v>
      </c>
      <c r="L16" s="221" t="s">
        <v>221</v>
      </c>
      <c r="M16" s="222"/>
      <c r="N16" s="199"/>
      <c r="O16" s="191" t="s">
        <v>222</v>
      </c>
      <c r="P16" s="138">
        <f>J23+P38-P43</f>
        <v>0</v>
      </c>
    </row>
    <row r="17" ht="31" customHeight="1" spans="2:16">
      <c r="B17" s="195"/>
      <c r="C17" s="134" t="s">
        <v>77</v>
      </c>
      <c r="D17" s="191" t="s">
        <v>223</v>
      </c>
      <c r="E17" s="135">
        <f>SUMIF(仕訳帳!I:I,C17,仕訳帳!E:E)-SUMIF(仕訳帳!J:J,C17,仕訳帳!E:E)</f>
        <v>0</v>
      </c>
      <c r="G17" s="195"/>
      <c r="H17" s="201"/>
      <c r="I17" s="191" t="s">
        <v>224</v>
      </c>
      <c r="J17" s="135">
        <f>IF(H17="",0,SUMIF(仕訳帳!I:I,H17,仕訳帳!E:E)-SUMIF(仕訳帳!J:J,H17,仕訳帳!E:E))</f>
        <v>0</v>
      </c>
      <c r="L17" s="198" t="s">
        <v>225</v>
      </c>
      <c r="M17" s="222"/>
      <c r="N17" s="199"/>
      <c r="O17" s="191" t="s">
        <v>226</v>
      </c>
      <c r="P17" s="223">
        <v>650000</v>
      </c>
    </row>
    <row r="18" ht="26" customHeight="1" spans="2:16">
      <c r="B18" s="195"/>
      <c r="C18" s="134" t="s">
        <v>78</v>
      </c>
      <c r="D18" s="191" t="s">
        <v>227</v>
      </c>
      <c r="E18" s="135">
        <f>SUMIF(仕訳帳!I:I,C18,仕訳帳!E:E)-SUMIF(仕訳帳!J:J,C18,仕訳帳!E:E)</f>
        <v>0</v>
      </c>
      <c r="G18" s="195"/>
      <c r="H18" s="201"/>
      <c r="I18" s="191" t="s">
        <v>228</v>
      </c>
      <c r="J18" s="135">
        <f>IF(H18="",0,SUMIF(仕訳帳!I:I,H18,仕訳帳!E:E)-SUMIF(仕訳帳!J:J,H18,仕訳帳!E:E))</f>
        <v>0</v>
      </c>
      <c r="L18" s="198" t="s">
        <v>229</v>
      </c>
      <c r="M18" s="222"/>
      <c r="N18" s="199"/>
      <c r="O18" s="191" t="s">
        <v>230</v>
      </c>
      <c r="P18" s="138">
        <f>MAX(0,P16-P17)</f>
        <v>0</v>
      </c>
    </row>
    <row r="19" ht="22" customHeight="1" spans="2:15">
      <c r="B19" s="195"/>
      <c r="C19" s="134" t="s">
        <v>79</v>
      </c>
      <c r="D19" s="191" t="s">
        <v>231</v>
      </c>
      <c r="E19" s="135">
        <f>SUMIF(仕訳帳!I:I,C19,仕訳帳!E:E)-SUMIF(仕訳帳!J:J,C19,仕訳帳!E:E)</f>
        <v>0</v>
      </c>
      <c r="G19" s="195"/>
      <c r="H19" s="201"/>
      <c r="I19" s="191" t="s">
        <v>232</v>
      </c>
      <c r="J19" s="135">
        <f>IF(H19="",0,SUMIF(仕訳帳!I:I,H19,仕訳帳!E:E)-SUMIF(仕訳帳!J:J,H19,仕訳帳!E:E))</f>
        <v>0</v>
      </c>
      <c r="L19" s="224"/>
      <c r="M19" s="225"/>
      <c r="N19" s="225"/>
      <c r="O19" s="204"/>
    </row>
    <row r="20" ht="21" customHeight="1" spans="2:15">
      <c r="B20" s="195"/>
      <c r="C20" s="134" t="s">
        <v>80</v>
      </c>
      <c r="D20" s="191" t="s">
        <v>233</v>
      </c>
      <c r="E20" s="135">
        <f>SUMIF(仕訳帳!I:I,C20,仕訳帳!E:E)-SUMIF(仕訳帳!J:J,C20,仕訳帳!E:E)</f>
        <v>0</v>
      </c>
      <c r="G20" s="195"/>
      <c r="H20" s="201"/>
      <c r="I20" s="191" t="s">
        <v>234</v>
      </c>
      <c r="J20" s="135">
        <f>IF(H20="",0,SUMIF(仕訳帳!I:I,H20,仕訳帳!E:E)-SUMIF(仕訳帳!J:J,H20,仕訳帳!E:E))</f>
        <v>0</v>
      </c>
      <c r="L20" s="224"/>
      <c r="M20" s="225"/>
      <c r="N20" s="225"/>
      <c r="O20" s="204"/>
    </row>
    <row r="21" ht="24" customHeight="1" spans="2:16">
      <c r="B21" s="195"/>
      <c r="C21" s="134" t="s">
        <v>81</v>
      </c>
      <c r="D21" s="191" t="s">
        <v>235</v>
      </c>
      <c r="E21" s="135">
        <f>SUMIF(仕訳帳!I:I,C21,仕訳帳!E:E)-SUMIF(仕訳帳!J:J,C21,仕訳帳!E:E)</f>
        <v>0</v>
      </c>
      <c r="G21" s="195"/>
      <c r="H21" s="134" t="s">
        <v>90</v>
      </c>
      <c r="I21" s="191" t="s">
        <v>236</v>
      </c>
      <c r="J21" s="135">
        <f>IF(H21="",0,SUMIF(仕訳帳!I:I,H21,仕訳帳!E:E)-SUMIF(仕訳帳!J:J,H21,仕訳帳!E:E))</f>
        <v>0</v>
      </c>
      <c r="L21" s="224"/>
      <c r="M21" s="224"/>
      <c r="N21" s="225"/>
      <c r="O21" s="203"/>
      <c r="P21" s="124"/>
    </row>
    <row r="22" ht="23" customHeight="1" spans="2:16">
      <c r="B22" s="202"/>
      <c r="C22" s="134" t="s">
        <v>82</v>
      </c>
      <c r="D22" s="191" t="s">
        <v>237</v>
      </c>
      <c r="E22" s="135">
        <f>SUMIF(仕訳帳!I:I,C22,仕訳帳!E:E)-SUMIF(仕訳帳!J:J,C22,仕訳帳!E:E)</f>
        <v>0</v>
      </c>
      <c r="G22" s="202"/>
      <c r="H22" s="134" t="s">
        <v>195</v>
      </c>
      <c r="I22" s="191" t="s">
        <v>238</v>
      </c>
      <c r="J22" s="138">
        <f>SUM(J7:J21,E14:E22)</f>
        <v>0</v>
      </c>
      <c r="L22" s="224"/>
      <c r="M22" s="224"/>
      <c r="N22" s="225"/>
      <c r="O22" s="203"/>
      <c r="P22" s="124"/>
    </row>
    <row r="23" ht="37" customHeight="1" spans="7:16">
      <c r="G23" s="198" t="s">
        <v>239</v>
      </c>
      <c r="H23" s="166"/>
      <c r="I23" s="191" t="s">
        <v>240</v>
      </c>
      <c r="J23" s="138">
        <f>E13-J22</f>
        <v>0</v>
      </c>
      <c r="L23" s="124"/>
      <c r="M23" s="124"/>
      <c r="N23" s="224"/>
      <c r="O23" s="203"/>
      <c r="P23" s="124"/>
    </row>
  </sheetData>
  <pageMargins left="0.75" right="0.75" top="1" bottom="1" header="0.5" footer="0.5"/>
  <pageSetup paperSize="9" scale="77"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N33"/>
  <sheetViews>
    <sheetView zoomScale="160" zoomScaleNormal="160" workbookViewId="0">
      <selection activeCell="B2" sqref="B2"/>
    </sheetView>
  </sheetViews>
  <sheetFormatPr defaultColWidth="8.88888888888889" defaultRowHeight="13.2"/>
  <cols>
    <col min="1" max="1" width="3.44444444444444" style="111" customWidth="1"/>
    <col min="2" max="2" width="12.3333333333333" style="111" customWidth="1"/>
    <col min="3" max="3" width="25.4444444444444" style="111" customWidth="1"/>
    <col min="4" max="4" width="24.5555555555556" style="111" customWidth="1"/>
    <col min="5" max="5" width="2.44444444444444" style="111" customWidth="1"/>
    <col min="6" max="6" width="2.22222222222222" style="111" customWidth="1"/>
    <col min="7" max="7" width="6" style="111" customWidth="1"/>
    <col min="8" max="8" width="15.2222222222222" style="111" customWidth="1"/>
    <col min="9" max="9" width="10.2222222222222" style="111" customWidth="1"/>
    <col min="10" max="10" width="6" style="111" customWidth="1"/>
    <col min="11" max="11" width="12.1111111111111" style="111" customWidth="1"/>
    <col min="12" max="12" width="6" style="111" customWidth="1"/>
    <col min="13" max="13" width="6.55555555555556" style="111" customWidth="1"/>
    <col min="14" max="14" width="13.2222222222222" style="111" customWidth="1"/>
    <col min="15" max="16384" width="8.88888888888889" style="111"/>
  </cols>
  <sheetData>
    <row r="1" ht="6" customHeight="1"/>
    <row r="2" ht="7" customHeight="1"/>
    <row r="3" spans="2:7">
      <c r="B3" s="111" t="s">
        <v>241</v>
      </c>
      <c r="G3" s="111" t="s">
        <v>242</v>
      </c>
    </row>
    <row r="4" spans="2:14">
      <c r="B4" s="134" t="s">
        <v>243</v>
      </c>
      <c r="C4" s="134" t="s">
        <v>244</v>
      </c>
      <c r="D4" s="134" t="s">
        <v>245</v>
      </c>
      <c r="G4" s="113"/>
      <c r="H4" s="114"/>
      <c r="I4" s="114"/>
      <c r="J4" s="114"/>
      <c r="K4" s="114"/>
      <c r="L4" s="114"/>
      <c r="M4" s="114"/>
      <c r="N4" s="119"/>
    </row>
    <row r="5" ht="21" spans="2:14">
      <c r="B5" s="134">
        <v>1</v>
      </c>
      <c r="C5" s="135">
        <f>SUMPRODUCT((MONTH(仕訳帳!C$4:C$999)=B5)*(TEXT(仕訳帳!G$4:G$999,"0")="1"),仕訳帳!H$4:H$999)-SUMPRODUCT((MONTH(仕訳帳!C$4:C$999)=B5)*(TEXT(仕訳帳!D$4:D$999,"0")="1"),仕訳帳!H$4:H$999)</f>
        <v>0</v>
      </c>
      <c r="D5" s="135">
        <f>SUMPRODUCT((MONTH(仕訳帳!C$4:C$999)=B5)*(仕訳帳!D$4:D$999=3),仕訳帳!H$4:H$999)-SUMPRODUCT((MONTH(仕訳帳!C$4:C$999)=B5)*(仕訳帳!G$4:G$999=3),仕訳帳!H$4:H$999)</f>
        <v>0</v>
      </c>
      <c r="G5" s="115"/>
      <c r="H5" s="136"/>
      <c r="I5" s="136"/>
      <c r="J5" s="136"/>
      <c r="K5" s="136"/>
      <c r="L5" s="136"/>
      <c r="M5" s="136"/>
      <c r="N5" s="122"/>
    </row>
    <row r="6" ht="21" spans="2:14">
      <c r="B6" s="134">
        <v>2</v>
      </c>
      <c r="C6" s="135">
        <f>SUMPRODUCT((MONTH(仕訳帳!C$4:C$999)=B6)*(TEXT(仕訳帳!G$4:G$999,"0")="1"),仕訳帳!H$4:H$999)-SUMPRODUCT((MONTH(仕訳帳!C$4:C$999)=B6)*(TEXT(仕訳帳!D$4:D$999,"0")="1"),仕訳帳!H$4:H$999)</f>
        <v>0</v>
      </c>
      <c r="D6" s="135">
        <f>SUMPRODUCT((MONTH(仕訳帳!C$4:C$999)=B6)*(仕訳帳!D$4:D$999=3),仕訳帳!H$4:H$999)-SUMPRODUCT((MONTH(仕訳帳!C$4:C$999)=B6)*(仕訳帳!G$4:G$999=3),仕訳帳!H$4:H$999)</f>
        <v>0</v>
      </c>
      <c r="G6" s="115"/>
      <c r="H6" s="136"/>
      <c r="I6" s="136"/>
      <c r="J6" s="136"/>
      <c r="K6" s="136"/>
      <c r="L6" s="136"/>
      <c r="M6" s="136"/>
      <c r="N6" s="122"/>
    </row>
    <row r="7" ht="21" spans="2:14">
      <c r="B7" s="134">
        <v>3</v>
      </c>
      <c r="C7" s="135">
        <f>SUMPRODUCT((MONTH(仕訳帳!C$4:C$999)=B7)*(TEXT(仕訳帳!G$4:G$999,"0")="1"),仕訳帳!H$4:H$999)-SUMPRODUCT((MONTH(仕訳帳!C$4:C$999)=B7)*(TEXT(仕訳帳!D$4:D$999,"0")="1"),仕訳帳!H$4:H$999)</f>
        <v>0</v>
      </c>
      <c r="D7" s="135">
        <f>SUMPRODUCT((MONTH(仕訳帳!C$4:C$999)=B7)*(仕訳帳!D$4:D$999=3),仕訳帳!H$4:H$999)-SUMPRODUCT((MONTH(仕訳帳!C$4:C$999)=B7)*(仕訳帳!G$4:G$999=3),仕訳帳!H$4:H$999)</f>
        <v>0</v>
      </c>
      <c r="G7" s="115"/>
      <c r="H7" s="136"/>
      <c r="I7" s="136"/>
      <c r="J7" s="163" t="s">
        <v>246</v>
      </c>
      <c r="K7" s="136"/>
      <c r="L7" s="136"/>
      <c r="M7" s="136"/>
      <c r="N7" s="122"/>
    </row>
    <row r="8" ht="21" spans="2:14">
      <c r="B8" s="134">
        <v>4</v>
      </c>
      <c r="C8" s="135">
        <f>SUMPRODUCT((MONTH(仕訳帳!C$4:C$999)=B8)*(TEXT(仕訳帳!G$4:G$999,"0")="1"),仕訳帳!H$4:H$999)-SUMPRODUCT((MONTH(仕訳帳!C$4:C$999)=B8)*(TEXT(仕訳帳!D$4:D$999,"0")="1"),仕訳帳!H$4:H$999)</f>
        <v>0</v>
      </c>
      <c r="D8" s="135">
        <f>SUMPRODUCT((MONTH(仕訳帳!C$4:C$999)=B8)*(仕訳帳!D$4:D$999=3),仕訳帳!H$4:H$999)-SUMPRODUCT((MONTH(仕訳帳!C$4:C$999)=B8)*(仕訳帳!G$4:G$999=3),仕訳帳!H$4:H$999)</f>
        <v>0</v>
      </c>
      <c r="G8" s="115"/>
      <c r="H8" s="136"/>
      <c r="I8" s="136"/>
      <c r="J8" s="136"/>
      <c r="K8" s="136"/>
      <c r="L8" s="136"/>
      <c r="M8" s="136"/>
      <c r="N8" s="122"/>
    </row>
    <row r="9" ht="21" spans="2:14">
      <c r="B9" s="134">
        <v>5</v>
      </c>
      <c r="C9" s="135">
        <f>SUMPRODUCT((MONTH(仕訳帳!C$4:C$999)=B9)*(TEXT(仕訳帳!G$4:G$999,"0")="1"),仕訳帳!H$4:H$999)-SUMPRODUCT((MONTH(仕訳帳!C$4:C$999)=B9)*(TEXT(仕訳帳!D$4:D$999,"0")="1"),仕訳帳!H$4:H$999)</f>
        <v>0</v>
      </c>
      <c r="D9" s="135">
        <f>SUMPRODUCT((MONTH(仕訳帳!C$4:C$999)=B9)*(仕訳帳!D$4:D$999=3),仕訳帳!H$4:H$999)-SUMPRODUCT((MONTH(仕訳帳!C$4:C$999)=B9)*(仕訳帳!G$4:G$999=3),仕訳帳!H$4:H$999)</f>
        <v>0</v>
      </c>
      <c r="G9" s="115"/>
      <c r="H9" s="136"/>
      <c r="I9" s="136"/>
      <c r="J9" s="136"/>
      <c r="K9" s="136"/>
      <c r="L9" s="136"/>
      <c r="M9" s="136"/>
      <c r="N9" s="122"/>
    </row>
    <row r="10" ht="21" spans="2:14">
      <c r="B10" s="134">
        <v>6</v>
      </c>
      <c r="C10" s="135">
        <f>SUMPRODUCT((MONTH(仕訳帳!C$4:C$999)=B10)*(TEXT(仕訳帳!G$4:G$999,"0")="1"),仕訳帳!H$4:H$999)-SUMPRODUCT((MONTH(仕訳帳!C$4:C$999)=B10)*(TEXT(仕訳帳!D$4:D$999,"0")="1"),仕訳帳!H$4:H$999)</f>
        <v>0</v>
      </c>
      <c r="D10" s="135">
        <f>SUMPRODUCT((MONTH(仕訳帳!C$4:C$999)=B10)*(仕訳帳!D$4:D$999=3),仕訳帳!H$4:H$999)-SUMPRODUCT((MONTH(仕訳帳!C$4:C$999)=B10)*(仕訳帳!G$4:G$999=3),仕訳帳!H$4:H$999)</f>
        <v>0</v>
      </c>
      <c r="G10" s="115"/>
      <c r="H10" s="136"/>
      <c r="I10" s="136"/>
      <c r="J10" s="136"/>
      <c r="K10" s="136"/>
      <c r="L10" s="136"/>
      <c r="M10" s="136"/>
      <c r="N10" s="122"/>
    </row>
    <row r="11" ht="21" spans="2:14">
      <c r="B11" s="134">
        <v>7</v>
      </c>
      <c r="C11" s="135">
        <f>SUMPRODUCT((MONTH(仕訳帳!C$4:C$999)=B11)*(TEXT(仕訳帳!G$4:G$999,"0")="1"),仕訳帳!H$4:H$999)-SUMPRODUCT((MONTH(仕訳帳!C$4:C$999)=B11)*(TEXT(仕訳帳!D$4:D$999,"0")="1"),仕訳帳!H$4:H$999)</f>
        <v>0</v>
      </c>
      <c r="D11" s="135">
        <f>SUMPRODUCT((MONTH(仕訳帳!C$4:C$999)=B11)*(仕訳帳!D$4:D$999=3),仕訳帳!H$4:H$999)-SUMPRODUCT((MONTH(仕訳帳!C$4:C$999)=B11)*(仕訳帳!G$4:G$999=3),仕訳帳!H$4:H$999)</f>
        <v>0</v>
      </c>
      <c r="G11" s="117"/>
      <c r="H11" s="118"/>
      <c r="I11" s="118"/>
      <c r="J11" s="118"/>
      <c r="K11" s="118"/>
      <c r="L11" s="118"/>
      <c r="M11" s="118"/>
      <c r="N11" s="125"/>
    </row>
    <row r="12" ht="21" spans="2:7">
      <c r="B12" s="134">
        <v>8</v>
      </c>
      <c r="C12" s="135">
        <f>SUMPRODUCT((MONTH(仕訳帳!C$4:C$999)=B12)*(TEXT(仕訳帳!G$4:G$999,"0")="1"),仕訳帳!H$4:H$999)-SUMPRODUCT((MONTH(仕訳帳!C$4:C$999)=B12)*(TEXT(仕訳帳!D$4:D$999,"0")="1"),仕訳帳!H$4:H$999)</f>
        <v>0</v>
      </c>
      <c r="D12" s="135">
        <f>SUMPRODUCT((MONTH(仕訳帳!C$4:C$999)=B12)*(仕訳帳!D$4:D$999=3),仕訳帳!H$4:H$999)-SUMPRODUCT((MONTH(仕訳帳!C$4:C$999)=B12)*(仕訳帳!G$4:G$999=3),仕訳帳!H$4:H$999)</f>
        <v>0</v>
      </c>
      <c r="G12" s="111" t="s">
        <v>247</v>
      </c>
    </row>
    <row r="13" ht="21" spans="2:14">
      <c r="B13" s="134">
        <v>9</v>
      </c>
      <c r="C13" s="135">
        <f>SUMPRODUCT((MONTH(仕訳帳!C$4:C$999)=B13)*(TEXT(仕訳帳!G$4:G$999,"0")="1"),仕訳帳!H$4:H$999)-SUMPRODUCT((MONTH(仕訳帳!C$4:C$999)=B13)*(TEXT(仕訳帳!D$4:D$999,"0")="1"),仕訳帳!H$4:H$999)</f>
        <v>0</v>
      </c>
      <c r="D13" s="135">
        <f>SUMPRODUCT((MONTH(仕訳帳!C$4:C$999)=B13)*(仕訳帳!D$4:D$999=3),仕訳帳!H$4:H$999)-SUMPRODUCT((MONTH(仕訳帳!C$4:C$999)=B13)*(仕訳帳!G$4:G$999=3),仕訳帳!H$4:H$999)</f>
        <v>0</v>
      </c>
      <c r="G13" s="113"/>
      <c r="H13" s="114"/>
      <c r="I13" s="114"/>
      <c r="J13" s="114"/>
      <c r="K13" s="114"/>
      <c r="L13" s="114"/>
      <c r="M13" s="114"/>
      <c r="N13" s="119"/>
    </row>
    <row r="14" ht="21" spans="2:14">
      <c r="B14" s="134">
        <v>10</v>
      </c>
      <c r="C14" s="135">
        <f>SUMPRODUCT((MONTH(仕訳帳!C$4:C$999)=B14)*(TEXT(仕訳帳!G$4:G$999,"0")="1"),仕訳帳!H$4:H$999)-SUMPRODUCT((MONTH(仕訳帳!C$4:C$999)=B14)*(TEXT(仕訳帳!D$4:D$999,"0")="1"),仕訳帳!H$4:H$999)</f>
        <v>0</v>
      </c>
      <c r="D14" s="135">
        <f>SUMPRODUCT((MONTH(仕訳帳!C$4:C$999)=B14)*(仕訳帳!D$4:D$999=3),仕訳帳!H$4:H$999)-SUMPRODUCT((MONTH(仕訳帳!C$4:C$999)=B14)*(仕訳帳!G$4:G$999=3),仕訳帳!H$4:H$999)</f>
        <v>0</v>
      </c>
      <c r="G14" s="115"/>
      <c r="H14" s="116"/>
      <c r="I14" s="116"/>
      <c r="J14" s="116"/>
      <c r="K14" s="116"/>
      <c r="L14" s="116"/>
      <c r="M14" s="116"/>
      <c r="N14" s="122"/>
    </row>
    <row r="15" ht="21" spans="2:14">
      <c r="B15" s="134">
        <v>11</v>
      </c>
      <c r="C15" s="135">
        <f>SUMPRODUCT((MONTH(仕訳帳!C$4:C$999)=B15)*(TEXT(仕訳帳!G$4:G$999,"0")="1"),仕訳帳!H$4:H$999)-SUMPRODUCT((MONTH(仕訳帳!C$4:C$999)=B15)*(TEXT(仕訳帳!D$4:D$999,"0")="1"),仕訳帳!H$4:H$999)</f>
        <v>0</v>
      </c>
      <c r="D15" s="135">
        <f>SUMPRODUCT((MONTH(仕訳帳!C$4:C$999)=B15)*(仕訳帳!D$4:D$999=3),仕訳帳!H$4:H$999)-SUMPRODUCT((MONTH(仕訳帳!C$4:C$999)=B15)*(仕訳帳!G$4:G$999=3),仕訳帳!H$4:H$999)</f>
        <v>0</v>
      </c>
      <c r="G15" s="115"/>
      <c r="H15" s="116"/>
      <c r="I15" s="116"/>
      <c r="J15" s="116"/>
      <c r="K15" s="116"/>
      <c r="L15" s="116"/>
      <c r="M15" s="116"/>
      <c r="N15" s="122"/>
    </row>
    <row r="16" ht="21" spans="2:14">
      <c r="B16" s="134">
        <v>12</v>
      </c>
      <c r="C16" s="135">
        <f>SUMPRODUCT((MONTH(仕訳帳!C$4:C$999)=B16)*(TEXT(仕訳帳!G$4:G$999,"0")="1"),仕訳帳!H$4:H$999)-SUMPRODUCT((MONTH(仕訳帳!C$4:C$999)=B16)*(TEXT(仕訳帳!D$4:D$999,"0")="1"),仕訳帳!H$4:H$999)</f>
        <v>0</v>
      </c>
      <c r="D16" s="135">
        <f>SUMPRODUCT((MONTH(仕訳帳!C$4:C$999)=B16)*(仕訳帳!D$4:D$999=3),仕訳帳!H$4:H$999)-SUMPRODUCT((MONTH(仕訳帳!C$4:C$999)=B16)*(仕訳帳!G$4:G$999=3),仕訳帳!H$4:H$999)</f>
        <v>0</v>
      </c>
      <c r="G16" s="115"/>
      <c r="H16" s="116"/>
      <c r="I16" s="116"/>
      <c r="J16" s="147" t="s">
        <v>246</v>
      </c>
      <c r="K16" s="116"/>
      <c r="L16" s="116"/>
      <c r="M16" s="116"/>
      <c r="N16" s="122"/>
    </row>
    <row r="17" ht="21" spans="2:14">
      <c r="B17" s="134" t="s">
        <v>248</v>
      </c>
      <c r="C17" s="137"/>
      <c r="D17" s="137"/>
      <c r="G17" s="115"/>
      <c r="H17" s="116"/>
      <c r="I17" s="116"/>
      <c r="J17" s="116"/>
      <c r="K17" s="116"/>
      <c r="L17" s="116"/>
      <c r="M17" s="116"/>
      <c r="N17" s="122"/>
    </row>
    <row r="18" ht="21" spans="2:14">
      <c r="B18" s="134" t="s">
        <v>249</v>
      </c>
      <c r="C18" s="137"/>
      <c r="D18" s="137"/>
      <c r="G18" s="115"/>
      <c r="H18" s="116"/>
      <c r="I18" s="116"/>
      <c r="J18" s="116"/>
      <c r="K18" s="116"/>
      <c r="L18" s="116"/>
      <c r="M18" s="116"/>
      <c r="N18" s="122"/>
    </row>
    <row r="19" ht="21" spans="2:14">
      <c r="B19" s="134" t="s">
        <v>195</v>
      </c>
      <c r="C19" s="138">
        <f>SUM(C5:C18)</f>
        <v>0</v>
      </c>
      <c r="D19" s="138">
        <f>SUM(D5:D18)</f>
        <v>0</v>
      </c>
      <c r="G19" s="117"/>
      <c r="H19" s="118"/>
      <c r="I19" s="118"/>
      <c r="J19" s="118"/>
      <c r="K19" s="118"/>
      <c r="L19" s="118"/>
      <c r="M19" s="118"/>
      <c r="N19" s="125"/>
    </row>
    <row r="20" spans="2:7">
      <c r="B20" s="139" t="s">
        <v>250</v>
      </c>
      <c r="C20" s="140"/>
      <c r="D20" s="140"/>
      <c r="G20" s="111" t="s">
        <v>251</v>
      </c>
    </row>
    <row r="21" spans="7:14">
      <c r="G21" s="113"/>
      <c r="H21" s="114"/>
      <c r="I21" s="114"/>
      <c r="J21" s="114"/>
      <c r="K21" s="114"/>
      <c r="L21" s="114"/>
      <c r="M21" s="114"/>
      <c r="N21" s="119"/>
    </row>
    <row r="22" spans="2:14">
      <c r="B22" s="111" t="s">
        <v>252</v>
      </c>
      <c r="G22" s="115"/>
      <c r="H22" s="116"/>
      <c r="I22" s="116"/>
      <c r="J22" s="116"/>
      <c r="K22" s="116"/>
      <c r="L22" s="116"/>
      <c r="M22" s="116"/>
      <c r="N22" s="122"/>
    </row>
    <row r="23" spans="2:14">
      <c r="B23" s="141"/>
      <c r="C23" s="142"/>
      <c r="D23" s="142"/>
      <c r="E23" s="143"/>
      <c r="G23" s="115"/>
      <c r="H23" s="116"/>
      <c r="I23" s="116"/>
      <c r="J23" s="147" t="s">
        <v>246</v>
      </c>
      <c r="K23" s="116"/>
      <c r="L23" s="116"/>
      <c r="M23" s="116"/>
      <c r="N23" s="122"/>
    </row>
    <row r="24" spans="2:14">
      <c r="B24" s="144"/>
      <c r="C24" s="145"/>
      <c r="D24" s="145"/>
      <c r="E24" s="146"/>
      <c r="G24" s="115"/>
      <c r="H24" s="116"/>
      <c r="I24" s="116"/>
      <c r="J24" s="116"/>
      <c r="K24" s="116"/>
      <c r="L24" s="116"/>
      <c r="M24" s="116"/>
      <c r="N24" s="122"/>
    </row>
    <row r="25" spans="2:14">
      <c r="B25" s="144"/>
      <c r="C25" s="147" t="s">
        <v>246</v>
      </c>
      <c r="D25" s="145"/>
      <c r="E25" s="146"/>
      <c r="G25" s="117"/>
      <c r="H25" s="118"/>
      <c r="I25" s="118"/>
      <c r="J25" s="118"/>
      <c r="K25" s="118"/>
      <c r="L25" s="118"/>
      <c r="M25" s="118"/>
      <c r="N25" s="125"/>
    </row>
    <row r="26" spans="2:7">
      <c r="B26" s="144"/>
      <c r="C26" s="145"/>
      <c r="D26" s="145"/>
      <c r="E26" s="146"/>
      <c r="G26" s="111" t="s">
        <v>253</v>
      </c>
    </row>
    <row r="27" spans="2:14">
      <c r="B27" s="144"/>
      <c r="C27" s="145"/>
      <c r="D27" s="145"/>
      <c r="E27" s="146"/>
      <c r="G27" s="148"/>
      <c r="H27" s="149"/>
      <c r="I27" s="149"/>
      <c r="J27" s="149"/>
      <c r="K27" s="149"/>
      <c r="L27" s="149"/>
      <c r="M27" s="164"/>
      <c r="N27" s="165" t="s">
        <v>254</v>
      </c>
    </row>
    <row r="28" spans="2:14">
      <c r="B28" s="150"/>
      <c r="C28" s="151"/>
      <c r="D28" s="151"/>
      <c r="E28" s="152"/>
      <c r="G28" s="153" t="s">
        <v>255</v>
      </c>
      <c r="H28" s="154"/>
      <c r="I28" s="154"/>
      <c r="J28" s="154"/>
      <c r="K28" s="154"/>
      <c r="L28" s="166"/>
      <c r="M28" s="167" t="s">
        <v>203</v>
      </c>
      <c r="N28" s="168"/>
    </row>
    <row r="29" spans="7:14">
      <c r="G29" s="153" t="s">
        <v>256</v>
      </c>
      <c r="H29" s="154"/>
      <c r="I29" s="154"/>
      <c r="J29" s="154"/>
      <c r="K29" s="154"/>
      <c r="L29" s="166"/>
      <c r="M29" s="134" t="s">
        <v>209</v>
      </c>
      <c r="N29" s="168"/>
    </row>
    <row r="30" spans="7:14">
      <c r="G30" s="155" t="s">
        <v>257</v>
      </c>
      <c r="H30" s="156"/>
      <c r="I30" s="169" t="s">
        <v>258</v>
      </c>
      <c r="J30" s="154"/>
      <c r="K30" s="154"/>
      <c r="L30" s="166"/>
      <c r="M30" s="134" t="s">
        <v>213</v>
      </c>
      <c r="N30" s="168"/>
    </row>
    <row r="31" spans="7:14">
      <c r="G31" s="157" t="s">
        <v>259</v>
      </c>
      <c r="H31" s="158"/>
      <c r="I31" s="153" t="s">
        <v>225</v>
      </c>
      <c r="J31" s="154"/>
      <c r="K31" s="154"/>
      <c r="L31" s="166"/>
      <c r="M31" s="134" t="s">
        <v>216</v>
      </c>
      <c r="N31" s="168"/>
    </row>
    <row r="32" spans="7:14">
      <c r="G32" s="159" t="s">
        <v>260</v>
      </c>
      <c r="H32" s="160"/>
      <c r="I32" s="170" t="s">
        <v>261</v>
      </c>
      <c r="J32" s="171"/>
      <c r="K32" s="171"/>
      <c r="L32" s="172"/>
      <c r="M32" s="173" t="s">
        <v>213</v>
      </c>
      <c r="N32" s="174"/>
    </row>
    <row r="33" spans="7:14">
      <c r="G33" s="161"/>
      <c r="H33" s="162"/>
      <c r="I33" s="170" t="s">
        <v>225</v>
      </c>
      <c r="J33" s="171"/>
      <c r="K33" s="171"/>
      <c r="L33" s="172"/>
      <c r="M33" s="173" t="s">
        <v>216</v>
      </c>
      <c r="N33" s="174"/>
    </row>
  </sheetData>
  <pageMargins left="0.75" right="0.75" top="1" bottom="1" header="0.5" footer="0.5"/>
  <pageSetup paperSize="9" scale="90"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8"/>
  <sheetViews>
    <sheetView workbookViewId="0">
      <selection activeCell="A1" sqref="A1"/>
    </sheetView>
  </sheetViews>
  <sheetFormatPr defaultColWidth="8.88888888888889" defaultRowHeight="13.2"/>
  <cols>
    <col min="1" max="1" width="4.77777777777778" style="111" customWidth="1"/>
    <col min="2" max="18" width="7.22222222222222" style="111" customWidth="1"/>
    <col min="19" max="19" width="4.88888888888889" style="111" customWidth="1"/>
    <col min="20" max="16384" width="8.88888888888889" style="111"/>
  </cols>
  <sheetData>
    <row r="1" ht="9" customHeight="1" spans="1:1">
      <c r="A1" s="112"/>
    </row>
    <row r="2" ht="9" customHeight="1"/>
    <row r="3" spans="2:15">
      <c r="B3" s="111" t="s">
        <v>262</v>
      </c>
      <c r="O3" s="111" t="s">
        <v>263</v>
      </c>
    </row>
    <row r="4" spans="2:19">
      <c r="B4" s="113"/>
      <c r="C4" s="114"/>
      <c r="D4" s="114"/>
      <c r="E4" s="114"/>
      <c r="F4" s="114"/>
      <c r="G4" s="114"/>
      <c r="H4" s="114"/>
      <c r="I4" s="114"/>
      <c r="J4" s="114"/>
      <c r="K4" s="114"/>
      <c r="L4" s="114"/>
      <c r="M4" s="119"/>
      <c r="O4" s="120"/>
      <c r="P4" s="121"/>
      <c r="Q4" s="121"/>
      <c r="R4" s="131"/>
      <c r="S4" s="124"/>
    </row>
    <row r="5" spans="2:19">
      <c r="B5" s="115"/>
      <c r="C5" s="116"/>
      <c r="D5" s="116"/>
      <c r="E5" s="116"/>
      <c r="F5" s="116"/>
      <c r="G5" s="116"/>
      <c r="H5" s="116"/>
      <c r="I5" s="116"/>
      <c r="J5" s="116"/>
      <c r="K5" s="116"/>
      <c r="L5" s="116"/>
      <c r="M5" s="122"/>
      <c r="O5" s="123"/>
      <c r="P5" s="124"/>
      <c r="Q5" s="124"/>
      <c r="R5" s="132"/>
      <c r="S5" s="124"/>
    </row>
    <row r="6" spans="2:19">
      <c r="B6" s="115"/>
      <c r="C6" s="116"/>
      <c r="D6" s="116"/>
      <c r="E6" s="116"/>
      <c r="F6" s="116"/>
      <c r="G6" s="116"/>
      <c r="H6" s="116"/>
      <c r="I6" s="116"/>
      <c r="J6" s="116"/>
      <c r="K6" s="116"/>
      <c r="L6" s="116"/>
      <c r="M6" s="122"/>
      <c r="O6" s="123"/>
      <c r="P6" s="124"/>
      <c r="Q6" s="124"/>
      <c r="R6" s="132"/>
      <c r="S6" s="124"/>
    </row>
    <row r="7" spans="2:19">
      <c r="B7" s="115"/>
      <c r="C7" s="116"/>
      <c r="D7" s="116"/>
      <c r="E7" s="116"/>
      <c r="F7" s="116"/>
      <c r="G7" s="116" t="s">
        <v>246</v>
      </c>
      <c r="H7" s="116"/>
      <c r="I7" s="116"/>
      <c r="J7" s="116"/>
      <c r="K7" s="116"/>
      <c r="L7" s="116"/>
      <c r="M7" s="122"/>
      <c r="O7" s="123"/>
      <c r="P7" s="124"/>
      <c r="Q7" s="124"/>
      <c r="R7" s="132"/>
      <c r="S7" s="124"/>
    </row>
    <row r="8" spans="2:19">
      <c r="B8" s="115"/>
      <c r="C8" s="116"/>
      <c r="D8" s="116"/>
      <c r="E8" s="116"/>
      <c r="F8" s="116"/>
      <c r="G8" s="116"/>
      <c r="H8" s="116"/>
      <c r="I8" s="116"/>
      <c r="J8" s="116"/>
      <c r="K8" s="116"/>
      <c r="L8" s="116"/>
      <c r="M8" s="122"/>
      <c r="O8" s="123"/>
      <c r="P8" s="124"/>
      <c r="Q8" s="124"/>
      <c r="R8" s="132"/>
      <c r="S8" s="124"/>
    </row>
    <row r="9" spans="2:19">
      <c r="B9" s="117"/>
      <c r="C9" s="118"/>
      <c r="D9" s="118"/>
      <c r="E9" s="118"/>
      <c r="F9" s="118"/>
      <c r="G9" s="118"/>
      <c r="H9" s="118"/>
      <c r="I9" s="118"/>
      <c r="J9" s="118"/>
      <c r="K9" s="118"/>
      <c r="L9" s="118"/>
      <c r="M9" s="125"/>
      <c r="O9" s="123"/>
      <c r="P9" s="124"/>
      <c r="Q9" s="124"/>
      <c r="R9" s="132"/>
      <c r="S9" s="124"/>
    </row>
    <row r="10" spans="10:19">
      <c r="J10" s="126"/>
      <c r="K10" s="127"/>
      <c r="L10" s="127"/>
      <c r="M10" s="128"/>
      <c r="O10" s="123"/>
      <c r="P10" s="124"/>
      <c r="Q10" s="124"/>
      <c r="R10" s="132"/>
      <c r="S10" s="124"/>
    </row>
    <row r="11" spans="2:19">
      <c r="B11" s="111" t="s">
        <v>264</v>
      </c>
      <c r="O11" s="123"/>
      <c r="P11" s="124"/>
      <c r="Q11" s="124"/>
      <c r="R11" s="132"/>
      <c r="S11" s="124"/>
    </row>
    <row r="12" spans="2:19">
      <c r="B12" s="113"/>
      <c r="C12" s="114"/>
      <c r="D12" s="114"/>
      <c r="E12" s="114"/>
      <c r="F12" s="114"/>
      <c r="G12" s="114"/>
      <c r="H12" s="114"/>
      <c r="I12" s="114"/>
      <c r="J12" s="114"/>
      <c r="K12" s="114"/>
      <c r="L12" s="114"/>
      <c r="M12" s="119"/>
      <c r="O12" s="123"/>
      <c r="P12" s="124"/>
      <c r="Q12" s="124"/>
      <c r="R12" s="132"/>
      <c r="S12" s="124"/>
    </row>
    <row r="13" spans="2:19">
      <c r="B13" s="115"/>
      <c r="C13" s="116"/>
      <c r="D13" s="116"/>
      <c r="E13" s="116"/>
      <c r="F13" s="116"/>
      <c r="G13" s="116"/>
      <c r="H13" s="116"/>
      <c r="I13" s="116"/>
      <c r="J13" s="116"/>
      <c r="K13" s="116"/>
      <c r="L13" s="116"/>
      <c r="M13" s="122"/>
      <c r="O13" s="123"/>
      <c r="P13" s="124"/>
      <c r="Q13" s="124"/>
      <c r="R13" s="132"/>
      <c r="S13" s="124"/>
    </row>
    <row r="14" spans="2:19">
      <c r="B14" s="115"/>
      <c r="C14" s="116"/>
      <c r="D14" s="116"/>
      <c r="E14" s="116"/>
      <c r="F14" s="116"/>
      <c r="G14" s="116"/>
      <c r="H14" s="116"/>
      <c r="I14" s="116"/>
      <c r="J14" s="116"/>
      <c r="K14" s="116"/>
      <c r="L14" s="116"/>
      <c r="M14" s="122"/>
      <c r="O14" s="123"/>
      <c r="P14" s="124"/>
      <c r="Q14" s="124"/>
      <c r="R14" s="132"/>
      <c r="S14" s="124"/>
    </row>
    <row r="15" spans="2:19">
      <c r="B15" s="115"/>
      <c r="C15" s="116"/>
      <c r="D15" s="116"/>
      <c r="E15" s="116"/>
      <c r="F15" s="116"/>
      <c r="G15" s="116" t="s">
        <v>246</v>
      </c>
      <c r="H15" s="116"/>
      <c r="I15" s="116"/>
      <c r="J15" s="116"/>
      <c r="K15" s="116"/>
      <c r="L15" s="116"/>
      <c r="M15" s="122"/>
      <c r="O15" s="123"/>
      <c r="P15" s="124"/>
      <c r="Q15" s="124"/>
      <c r="R15" s="132"/>
      <c r="S15" s="124"/>
    </row>
    <row r="16" spans="2:19">
      <c r="B16" s="115"/>
      <c r="C16" s="116"/>
      <c r="D16" s="116"/>
      <c r="E16" s="116"/>
      <c r="F16" s="116"/>
      <c r="G16" s="116"/>
      <c r="H16" s="116"/>
      <c r="I16" s="116"/>
      <c r="J16" s="116"/>
      <c r="K16" s="116"/>
      <c r="L16" s="116"/>
      <c r="M16" s="122"/>
      <c r="O16" s="123"/>
      <c r="P16" s="124"/>
      <c r="Q16" s="124"/>
      <c r="R16" s="132"/>
      <c r="S16" s="124"/>
    </row>
    <row r="17" spans="2:19">
      <c r="B17" s="117"/>
      <c r="C17" s="118"/>
      <c r="D17" s="118"/>
      <c r="E17" s="118"/>
      <c r="F17" s="118"/>
      <c r="G17" s="118"/>
      <c r="H17" s="118"/>
      <c r="I17" s="118"/>
      <c r="J17" s="118"/>
      <c r="K17" s="118"/>
      <c r="L17" s="118"/>
      <c r="M17" s="125"/>
      <c r="O17" s="123"/>
      <c r="P17" s="124"/>
      <c r="Q17" s="124"/>
      <c r="R17" s="132"/>
      <c r="S17" s="124"/>
    </row>
    <row r="18" spans="10:19">
      <c r="J18" s="126"/>
      <c r="K18" s="127"/>
      <c r="L18" s="127"/>
      <c r="M18" s="128"/>
      <c r="O18" s="129"/>
      <c r="P18" s="130"/>
      <c r="Q18" s="130"/>
      <c r="R18" s="133"/>
      <c r="S18" s="124"/>
    </row>
    <row r="19" ht="6" customHeight="1"/>
    <row r="20" spans="2:2">
      <c r="B20" s="111" t="s">
        <v>265</v>
      </c>
    </row>
    <row r="21" spans="2:18">
      <c r="B21" s="113"/>
      <c r="C21" s="114"/>
      <c r="D21" s="114"/>
      <c r="E21" s="114"/>
      <c r="F21" s="114"/>
      <c r="G21" s="114"/>
      <c r="H21" s="114"/>
      <c r="I21" s="114"/>
      <c r="J21" s="114"/>
      <c r="K21" s="114"/>
      <c r="L21" s="114"/>
      <c r="M21" s="114"/>
      <c r="N21" s="114"/>
      <c r="O21" s="114"/>
      <c r="P21" s="114"/>
      <c r="Q21" s="114"/>
      <c r="R21" s="119"/>
    </row>
    <row r="22" spans="2:18">
      <c r="B22" s="115"/>
      <c r="C22" s="116"/>
      <c r="D22" s="116"/>
      <c r="E22" s="116"/>
      <c r="F22" s="116"/>
      <c r="G22" s="116"/>
      <c r="H22" s="116"/>
      <c r="I22" s="116"/>
      <c r="J22" s="116"/>
      <c r="K22" s="116"/>
      <c r="L22" s="116"/>
      <c r="M22" s="116"/>
      <c r="N22" s="116"/>
      <c r="O22" s="116"/>
      <c r="P22" s="116"/>
      <c r="Q22" s="116"/>
      <c r="R22" s="122"/>
    </row>
    <row r="23" spans="2:18">
      <c r="B23" s="115"/>
      <c r="C23" s="116"/>
      <c r="D23" s="116"/>
      <c r="E23" s="116"/>
      <c r="F23" s="116"/>
      <c r="G23" s="116"/>
      <c r="H23" s="116"/>
      <c r="I23" s="116"/>
      <c r="J23" s="116"/>
      <c r="K23" s="116"/>
      <c r="L23" s="116"/>
      <c r="M23" s="116"/>
      <c r="N23" s="116"/>
      <c r="O23" s="116"/>
      <c r="P23" s="116"/>
      <c r="Q23" s="116"/>
      <c r="R23" s="122"/>
    </row>
    <row r="24" spans="2:18">
      <c r="B24" s="115"/>
      <c r="C24" s="116"/>
      <c r="D24" s="116"/>
      <c r="E24" s="116"/>
      <c r="F24" s="116"/>
      <c r="G24" s="116"/>
      <c r="H24" s="116"/>
      <c r="I24" s="116"/>
      <c r="J24" s="116"/>
      <c r="K24" s="116"/>
      <c r="L24" s="116"/>
      <c r="M24" s="116"/>
      <c r="N24" s="116"/>
      <c r="O24" s="116"/>
      <c r="P24" s="116"/>
      <c r="Q24" s="116"/>
      <c r="R24" s="122"/>
    </row>
    <row r="25" spans="2:18">
      <c r="B25" s="115"/>
      <c r="C25" s="116"/>
      <c r="D25" s="116"/>
      <c r="E25" s="116"/>
      <c r="F25" s="116"/>
      <c r="G25" s="116"/>
      <c r="H25" s="116"/>
      <c r="I25" s="116"/>
      <c r="J25" s="116"/>
      <c r="K25" s="116"/>
      <c r="L25" s="116"/>
      <c r="M25" s="116"/>
      <c r="N25" s="116"/>
      <c r="O25" s="116"/>
      <c r="P25" s="116"/>
      <c r="Q25" s="116"/>
      <c r="R25" s="122"/>
    </row>
    <row r="26" spans="2:18">
      <c r="B26" s="115"/>
      <c r="C26" s="116"/>
      <c r="D26" s="116"/>
      <c r="E26" s="116"/>
      <c r="F26" s="116"/>
      <c r="G26" s="116"/>
      <c r="H26" s="116"/>
      <c r="I26" s="116"/>
      <c r="J26" s="116"/>
      <c r="K26" s="116"/>
      <c r="L26" s="116"/>
      <c r="M26" s="116"/>
      <c r="N26" s="116"/>
      <c r="O26" s="116"/>
      <c r="P26" s="116"/>
      <c r="Q26" s="116"/>
      <c r="R26" s="122"/>
    </row>
    <row r="27" spans="2:18">
      <c r="B27" s="115"/>
      <c r="C27" s="116"/>
      <c r="D27" s="116"/>
      <c r="E27" s="116"/>
      <c r="F27" s="116"/>
      <c r="G27" s="116"/>
      <c r="H27" s="116"/>
      <c r="I27" s="116"/>
      <c r="J27" s="116"/>
      <c r="K27" s="116"/>
      <c r="L27" s="116"/>
      <c r="M27" s="116"/>
      <c r="N27" s="116"/>
      <c r="O27" s="116"/>
      <c r="P27" s="116"/>
      <c r="Q27" s="116"/>
      <c r="R27" s="122"/>
    </row>
    <row r="28" spans="2:18">
      <c r="B28" s="115"/>
      <c r="C28" s="116"/>
      <c r="D28" s="116"/>
      <c r="E28" s="116"/>
      <c r="F28" s="116"/>
      <c r="G28" s="116"/>
      <c r="H28" s="116"/>
      <c r="I28" s="116"/>
      <c r="J28" s="116"/>
      <c r="K28" s="116"/>
      <c r="L28" s="116"/>
      <c r="M28" s="116"/>
      <c r="N28" s="116"/>
      <c r="O28" s="116"/>
      <c r="P28" s="116"/>
      <c r="Q28" s="116"/>
      <c r="R28" s="122"/>
    </row>
    <row r="29" spans="2:18">
      <c r="B29" s="117"/>
      <c r="C29" s="118"/>
      <c r="D29" s="118"/>
      <c r="E29" s="118"/>
      <c r="F29" s="118"/>
      <c r="G29" s="118"/>
      <c r="H29" s="118"/>
      <c r="I29" s="118"/>
      <c r="J29" s="118"/>
      <c r="K29" s="118"/>
      <c r="L29" s="118"/>
      <c r="M29" s="118"/>
      <c r="N29" s="118"/>
      <c r="O29" s="118"/>
      <c r="P29" s="118"/>
      <c r="Q29" s="118"/>
      <c r="R29" s="125"/>
    </row>
    <row r="30" ht="7" customHeight="1"/>
    <row r="31" spans="2:2">
      <c r="B31" s="111" t="s">
        <v>266</v>
      </c>
    </row>
    <row r="32" spans="2:18">
      <c r="B32" s="113"/>
      <c r="C32" s="114"/>
      <c r="D32" s="114"/>
      <c r="E32" s="114"/>
      <c r="F32" s="114"/>
      <c r="G32" s="114"/>
      <c r="H32" s="114"/>
      <c r="I32" s="114"/>
      <c r="J32" s="114"/>
      <c r="K32" s="114"/>
      <c r="L32" s="114"/>
      <c r="M32" s="114"/>
      <c r="N32" s="114"/>
      <c r="O32" s="114"/>
      <c r="P32" s="114"/>
      <c r="Q32" s="114"/>
      <c r="R32" s="119"/>
    </row>
    <row r="33" spans="2:18">
      <c r="B33" s="115"/>
      <c r="C33" s="116"/>
      <c r="D33" s="116"/>
      <c r="E33" s="116"/>
      <c r="F33" s="116"/>
      <c r="G33" s="116"/>
      <c r="H33" s="116"/>
      <c r="I33" s="116"/>
      <c r="J33" s="116" t="s">
        <v>246</v>
      </c>
      <c r="K33" s="116"/>
      <c r="L33" s="116"/>
      <c r="M33" s="116"/>
      <c r="N33" s="116"/>
      <c r="O33" s="116"/>
      <c r="P33" s="116"/>
      <c r="Q33" s="116"/>
      <c r="R33" s="122"/>
    </row>
    <row r="34" spans="2:18">
      <c r="B34" s="117"/>
      <c r="C34" s="118"/>
      <c r="D34" s="118"/>
      <c r="E34" s="118"/>
      <c r="F34" s="118"/>
      <c r="G34" s="118"/>
      <c r="H34" s="118"/>
      <c r="I34" s="118"/>
      <c r="J34" s="118"/>
      <c r="K34" s="118"/>
      <c r="L34" s="118"/>
      <c r="M34" s="118"/>
      <c r="N34" s="118"/>
      <c r="O34" s="118"/>
      <c r="P34" s="118"/>
      <c r="Q34" s="118"/>
      <c r="R34" s="125"/>
    </row>
    <row r="35" spans="2:2">
      <c r="B35" s="111" t="s">
        <v>267</v>
      </c>
    </row>
    <row r="36" spans="2:18">
      <c r="B36" s="113"/>
      <c r="C36" s="114"/>
      <c r="D36" s="114"/>
      <c r="E36" s="114"/>
      <c r="F36" s="114"/>
      <c r="G36" s="114"/>
      <c r="H36" s="114"/>
      <c r="I36" s="114"/>
      <c r="J36" s="114"/>
      <c r="K36" s="114"/>
      <c r="L36" s="114"/>
      <c r="M36" s="114"/>
      <c r="N36" s="114"/>
      <c r="O36" s="114"/>
      <c r="P36" s="114"/>
      <c r="Q36" s="114"/>
      <c r="R36" s="119"/>
    </row>
    <row r="37" spans="2:18">
      <c r="B37" s="115"/>
      <c r="C37" s="116"/>
      <c r="D37" s="116"/>
      <c r="E37" s="116"/>
      <c r="F37" s="116"/>
      <c r="G37" s="116"/>
      <c r="H37" s="116"/>
      <c r="I37" s="116"/>
      <c r="J37" s="116" t="s">
        <v>246</v>
      </c>
      <c r="K37" s="116"/>
      <c r="L37" s="116"/>
      <c r="M37" s="116"/>
      <c r="N37" s="116"/>
      <c r="O37" s="116"/>
      <c r="P37" s="116"/>
      <c r="Q37" s="116"/>
      <c r="R37" s="122"/>
    </row>
    <row r="38" spans="2:18">
      <c r="B38" s="117"/>
      <c r="C38" s="118"/>
      <c r="D38" s="118"/>
      <c r="E38" s="118"/>
      <c r="F38" s="118"/>
      <c r="G38" s="118"/>
      <c r="H38" s="118"/>
      <c r="I38" s="118"/>
      <c r="J38" s="118"/>
      <c r="K38" s="118"/>
      <c r="L38" s="118"/>
      <c r="M38" s="118"/>
      <c r="N38" s="118"/>
      <c r="O38" s="118"/>
      <c r="P38" s="118"/>
      <c r="Q38" s="118"/>
      <c r="R38" s="125"/>
    </row>
  </sheetData>
  <pageMargins left="0.75" right="0.75" top="1" bottom="1" header="0.5" footer="0.5"/>
  <pageSetup paperSize="9"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0"/>
  <sheetViews>
    <sheetView workbookViewId="0">
      <selection activeCell="C32" sqref="C32"/>
    </sheetView>
  </sheetViews>
  <sheetFormatPr defaultColWidth="8.88888888888889" defaultRowHeight="13.2"/>
  <cols>
    <col min="1" max="1" width="5.7962962962963" style="70" customWidth="1"/>
    <col min="2" max="2" width="18.0092592592593" style="71" customWidth="1"/>
    <col min="3" max="3" width="14.2777777777778" style="71" customWidth="1"/>
    <col min="4" max="4" width="16.9259259259259" style="71" customWidth="1"/>
    <col min="5" max="5" width="1.13888888888889" style="71" customWidth="1"/>
    <col min="6" max="6" width="8" style="72" customWidth="1"/>
    <col min="7" max="7" width="20.6018518518519" style="71" customWidth="1"/>
    <col min="8" max="8" width="14.7037037037037" style="71" customWidth="1"/>
    <col min="9" max="9" width="17" style="71" customWidth="1"/>
    <col min="10" max="10" width="2.88888888888889" style="71" customWidth="1"/>
    <col min="11" max="11" width="3.33333333333333" style="71" customWidth="1"/>
    <col min="12" max="12" width="2.44444444444444" style="71" customWidth="1"/>
    <col min="13" max="13" width="2.77777777777778" style="71" customWidth="1"/>
    <col min="14" max="14" width="3.44444444444444" style="71" customWidth="1"/>
    <col min="15" max="15" width="18.7685185185185" style="71" customWidth="1"/>
    <col min="16" max="16383" width="8.88888888888889" style="71"/>
  </cols>
  <sheetData>
    <row r="1" ht="21" spans="1:1">
      <c r="A1" s="73" t="s">
        <v>268</v>
      </c>
    </row>
    <row r="2" spans="6:11">
      <c r="F2" s="74"/>
      <c r="K2" s="71" t="s">
        <v>269</v>
      </c>
    </row>
    <row r="3" ht="16.2" spans="2:15">
      <c r="B3" s="75" t="s">
        <v>270</v>
      </c>
      <c r="C3" s="76"/>
      <c r="D3" s="76"/>
      <c r="E3" s="77"/>
      <c r="F3" s="78"/>
      <c r="G3" s="76" t="s">
        <v>271</v>
      </c>
      <c r="H3" s="76"/>
      <c r="I3" s="100"/>
      <c r="K3" s="101"/>
      <c r="L3" s="102"/>
      <c r="M3" s="102"/>
      <c r="N3" s="102"/>
      <c r="O3" s="103"/>
    </row>
    <row r="4" spans="1:15">
      <c r="A4" s="79" t="s">
        <v>61</v>
      </c>
      <c r="B4" s="80" t="s">
        <v>272</v>
      </c>
      <c r="C4" s="81" t="s">
        <v>273</v>
      </c>
      <c r="D4" s="81" t="s">
        <v>274</v>
      </c>
      <c r="E4" s="81"/>
      <c r="F4" s="79" t="s">
        <v>61</v>
      </c>
      <c r="G4" s="80" t="s">
        <v>272</v>
      </c>
      <c r="H4" s="81" t="s">
        <v>273</v>
      </c>
      <c r="I4" s="81" t="s">
        <v>274</v>
      </c>
      <c r="K4" s="104"/>
      <c r="L4" s="105"/>
      <c r="M4" s="105"/>
      <c r="N4" s="105"/>
      <c r="O4" s="106"/>
    </row>
    <row r="5" spans="1:15">
      <c r="A5" s="82">
        <v>101</v>
      </c>
      <c r="B5" s="80" t="s">
        <v>94</v>
      </c>
      <c r="C5" s="83" t="str">
        <f>IF(B5="棚卸資産",IF(ISNUMBER(MATCH("期首商品（製品)棚卸高",仕訳帳!$I:$I,0)),INDEX(仕訳帳!$E:$E,MATCH("期首商品（製品)棚卸高",仕訳帳!$I:$I,0)),""),IF(SUMPRODUCT((ISNUMBER(仕訳帳!$C$4:$C$999))*(MONTH(仕訳帳!$C$4:$C$999)=1)*(DAY(仕訳帳!$C$4:$C$999)=1)*(仕訳帳!$I$4:$I$999=B5)*(仕訳帳!$J$4:$J$999&lt;&gt;"売上（収入）")*(ISNUMBER(仕訳帳!$E$4:$E$999)))=0,"",SUMPRODUCT((ISNUMBER(仕訳帳!$C$4:$C$999))*(MONTH(仕訳帳!$C$4:$C$999)=1)*(DAY(仕訳帳!$C$4:$C$999)=1)*(仕訳帳!$I$4:$I$999=B5)*(仕訳帳!$J$4:$J$999&lt;&gt;"売上（収入）")*(ISNUMBER(仕訳帳!$E$4:$E$999))*(仕訳帳!$E$4:$E$999))))</f>
        <v/>
      </c>
      <c r="D5" s="83" t="str">
        <f t="array" ref="D5">IF(B5="棚卸資産",IF(SUMIF(仕訳帳!J:J,"期末商品（製品)棚卸高",仕訳帳!H:H)=0,"",SUMIF(仕訳帳!J:J,"期末商品（製品)棚卸高",仕訳帳!H:H)),IF(SUMIF(仕訳帳!I:I,B5,仕訳帳!E:E)-SUMIF(仕訳帳!J:J,B5,仕訳帳!H:H)=0,"",SUMIF(仕訳帳!I:I,B5,仕訳帳!E:E)-SUMIF(仕訳帳!J:J,B5,仕訳帳!H:H)))</f>
        <v/>
      </c>
      <c r="E5" s="84"/>
      <c r="F5" s="85">
        <v>151</v>
      </c>
      <c r="G5" s="80" t="s">
        <v>113</v>
      </c>
      <c r="H5" s="83" t="str">
        <f>IF(SUMPRODUCT((ISNUMBER(仕訳帳!$C$4:$C$999))*(MONTH(仕訳帳!$C$4:$C$999)=1)*(DAY(仕訳帳!$C$4:$C$999)=1)*(仕訳帳!$J$4:$J$999=G5)*(ISNUMBER(仕訳帳!$H$4:$H$999)))=0,"",SUMPRODUCT((ISNUMBER(仕訳帳!$C$4:$C$999))*(MONTH(仕訳帳!$C$4:$C$999)=1)*(DAY(仕訳帳!$C$4:$C$999)=1)*(仕訳帳!$J$4:$J$999=G5)*(ISNUMBER(仕訳帳!$H$4:$H$999))*(仕訳帳!$H$4:$H$999)))</f>
        <v/>
      </c>
      <c r="I5" s="83" t="str">
        <f t="array" ref="I5">IF(SUMIF(仕訳帳!J:J,G5,仕訳帳!H:H)-SUMIF(仕訳帳!I:I,G5,仕訳帳!E:E)=0,"",SUMIF(仕訳帳!J:J,G5,仕訳帳!H:H)-SUMIF(仕訳帳!I:I,G5,仕訳帳!E:E))</f>
        <v/>
      </c>
      <c r="K5" s="104"/>
      <c r="L5" s="105"/>
      <c r="M5" s="105"/>
      <c r="N5" s="105"/>
      <c r="O5" s="106"/>
    </row>
    <row r="6" spans="1:15">
      <c r="A6" s="82">
        <v>102</v>
      </c>
      <c r="B6" s="80" t="s">
        <v>95</v>
      </c>
      <c r="C6" s="83" t="str">
        <f>IF(B6="棚卸資産",IF(ISNUMBER(MATCH("期首商品（製品)棚卸高",仕訳帳!$I:$I,0)),INDEX(仕訳帳!$E:$E,MATCH("期首商品（製品)棚卸高",仕訳帳!$I:$I,0)),""),IF(SUMPRODUCT((ISNUMBER(仕訳帳!$C$4:$C$999))*(MONTH(仕訳帳!$C$4:$C$999)=1)*(DAY(仕訳帳!$C$4:$C$999)=1)*(仕訳帳!$I$4:$I$999=B6)*(仕訳帳!$J$4:$J$999&lt;&gt;"売上（収入）")*(ISNUMBER(仕訳帳!$E$4:$E$999)))=0,"",SUMPRODUCT((ISNUMBER(仕訳帳!$C$4:$C$999))*(MONTH(仕訳帳!$C$4:$C$999)=1)*(DAY(仕訳帳!$C$4:$C$999)=1)*(仕訳帳!$I$4:$I$999=B6)*(仕訳帳!$J$4:$J$999&lt;&gt;"売上（収入）")*(ISNUMBER(仕訳帳!$E$4:$E$999))*(仕訳帳!$E$4:$E$999))))</f>
        <v/>
      </c>
      <c r="D6" s="83" t="str">
        <f t="array" ref="D6">IF(B6="棚卸資産",IF(SUMIF(仕訳帳!J:J,"期末商品（製品)棚卸高",仕訳帳!H:H)=0,"",SUMIF(仕訳帳!J:J,"期末商品（製品)棚卸高",仕訳帳!H:H)),IF(SUMIF(仕訳帳!I:I,B6,仕訳帳!E:E)-SUMIF(仕訳帳!J:J,B6,仕訳帳!H:H)=0,"",SUMIF(仕訳帳!I:I,B6,仕訳帳!E:E)-SUMIF(仕訳帳!J:J,B6,仕訳帳!H:H)))</f>
        <v/>
      </c>
      <c r="E6" s="84"/>
      <c r="F6" s="85">
        <v>152</v>
      </c>
      <c r="G6" s="80" t="s">
        <v>115</v>
      </c>
      <c r="H6" s="83" t="str">
        <f>IF(SUMPRODUCT((ISNUMBER(仕訳帳!$C$4:$C$999))*(MONTH(仕訳帳!$C$4:$C$999)=1)*(DAY(仕訳帳!$C$4:$C$999)=1)*(仕訳帳!$J$4:$J$999=G6)*(ISNUMBER(仕訳帳!$H$4:$H$999)))=0,"",SUMPRODUCT((ISNUMBER(仕訳帳!$C$4:$C$999))*(MONTH(仕訳帳!$C$4:$C$999)=1)*(DAY(仕訳帳!$C$4:$C$999)=1)*(仕訳帳!$J$4:$J$999=G6)*(ISNUMBER(仕訳帳!$H$4:$H$999))*(仕訳帳!$H$4:$H$999)))</f>
        <v/>
      </c>
      <c r="I6" s="83" t="str">
        <f t="array" ref="I6">IF(SUMIF(仕訳帳!J:J,G6,仕訳帳!H:H)-SUMIF(仕訳帳!I:I,G6,仕訳帳!E:E)=0,"",SUMIF(仕訳帳!J:J,G6,仕訳帳!H:H)-SUMIF(仕訳帳!I:I,G6,仕訳帳!E:E))</f>
        <v/>
      </c>
      <c r="K6" s="104"/>
      <c r="L6" s="105"/>
      <c r="M6" s="105"/>
      <c r="N6" s="105"/>
      <c r="O6" s="106"/>
    </row>
    <row r="7" spans="1:15">
      <c r="A7" s="82">
        <v>103</v>
      </c>
      <c r="B7" s="80" t="s">
        <v>96</v>
      </c>
      <c r="C7" s="83" t="str">
        <f>IF(B7="棚卸資産",IF(ISNUMBER(MATCH("期首商品（製品)棚卸高",仕訳帳!$I:$I,0)),INDEX(仕訳帳!$E:$E,MATCH("期首商品（製品)棚卸高",仕訳帳!$I:$I,0)),""),IF(SUMPRODUCT((ISNUMBER(仕訳帳!$C$4:$C$999))*(MONTH(仕訳帳!$C$4:$C$999)=1)*(DAY(仕訳帳!$C$4:$C$999)=1)*(仕訳帳!$I$4:$I$999=B7)*(仕訳帳!$J$4:$J$999&lt;&gt;"売上（収入）")*(ISNUMBER(仕訳帳!$E$4:$E$999)))=0,"",SUMPRODUCT((ISNUMBER(仕訳帳!$C$4:$C$999))*(MONTH(仕訳帳!$C$4:$C$999)=1)*(DAY(仕訳帳!$C$4:$C$999)=1)*(仕訳帳!$I$4:$I$999=B7)*(仕訳帳!$J$4:$J$999&lt;&gt;"売上（収入）")*(ISNUMBER(仕訳帳!$E$4:$E$999))*(仕訳帳!$E$4:$E$999))))</f>
        <v/>
      </c>
      <c r="D7" s="83" t="str">
        <f t="array" ref="D7">IF(B7="棚卸資産",IF(SUMIF(仕訳帳!J:J,"期末商品（製品)棚卸高",仕訳帳!H:H)=0,"",SUMIF(仕訳帳!J:J,"期末商品（製品)棚卸高",仕訳帳!H:H)),IF(SUMIF(仕訳帳!I:I,B7,仕訳帳!E:E)-SUMIF(仕訳帳!J:J,B7,仕訳帳!H:H)=0,"",SUMIF(仕訳帳!I:I,B7,仕訳帳!E:E)-SUMIF(仕訳帳!J:J,B7,仕訳帳!H:H)))</f>
        <v/>
      </c>
      <c r="E7" s="84"/>
      <c r="F7" s="85">
        <v>153</v>
      </c>
      <c r="G7" s="80" t="s">
        <v>116</v>
      </c>
      <c r="H7" s="83" t="str">
        <f>IF(SUMPRODUCT((ISNUMBER(仕訳帳!$C$4:$C$999))*(MONTH(仕訳帳!$C$4:$C$999)=1)*(DAY(仕訳帳!$C$4:$C$999)=1)*(仕訳帳!$J$4:$J$999=G7)*(ISNUMBER(仕訳帳!$H$4:$H$999)))=0,"",SUMPRODUCT((ISNUMBER(仕訳帳!$C$4:$C$999))*(MONTH(仕訳帳!$C$4:$C$999)=1)*(DAY(仕訳帳!$C$4:$C$999)=1)*(仕訳帳!$J$4:$J$999=G7)*(ISNUMBER(仕訳帳!$H$4:$H$999))*(仕訳帳!$H$4:$H$999)))</f>
        <v/>
      </c>
      <c r="I7" s="83" t="str">
        <f t="array" ref="I7">IF(SUMIF(仕訳帳!J:J,G7,仕訳帳!H:H)-SUMIF(仕訳帳!I:I,G7,仕訳帳!E:E)=0,"",SUMIF(仕訳帳!J:J,G7,仕訳帳!H:H)-SUMIF(仕訳帳!I:I,G7,仕訳帳!E:E))</f>
        <v/>
      </c>
      <c r="K7" s="104"/>
      <c r="L7" s="105"/>
      <c r="M7" s="105"/>
      <c r="N7" s="105"/>
      <c r="O7" s="106"/>
    </row>
    <row r="8" spans="1:15">
      <c r="A8" s="82">
        <v>104</v>
      </c>
      <c r="B8" s="80" t="s">
        <v>97</v>
      </c>
      <c r="C8" s="83" t="str">
        <f>IF(B8="棚卸資産",IF(ISNUMBER(MATCH("期首商品（製品)棚卸高",仕訳帳!$I:$I,0)),INDEX(仕訳帳!$E:$E,MATCH("期首商品（製品)棚卸高",仕訳帳!$I:$I,0)),""),IF(SUMPRODUCT((ISNUMBER(仕訳帳!$C$4:$C$999))*(MONTH(仕訳帳!$C$4:$C$999)=1)*(DAY(仕訳帳!$C$4:$C$999)=1)*(仕訳帳!$I$4:$I$999=B8)*(仕訳帳!$J$4:$J$999&lt;&gt;"売上（収入）")*(ISNUMBER(仕訳帳!$E$4:$E$999)))=0,"",SUMPRODUCT((ISNUMBER(仕訳帳!$C$4:$C$999))*(MONTH(仕訳帳!$C$4:$C$999)=1)*(DAY(仕訳帳!$C$4:$C$999)=1)*(仕訳帳!$I$4:$I$999=B8)*(仕訳帳!$J$4:$J$999&lt;&gt;"売上（収入）")*(ISNUMBER(仕訳帳!$E$4:$E$999))*(仕訳帳!$E$4:$E$999))))</f>
        <v/>
      </c>
      <c r="D8" s="83" t="str">
        <f t="array" ref="D8">IF(B8="棚卸資産",IF(SUMIF(仕訳帳!J:J,"期末商品（製品)棚卸高",仕訳帳!H:H)=0,"",SUMIF(仕訳帳!J:J,"期末商品（製品)棚卸高",仕訳帳!H:H)),IF(SUMIF(仕訳帳!I:I,B8,仕訳帳!E:E)-SUMIF(仕訳帳!J:J,B8,仕訳帳!H:H)=0,"",SUMIF(仕訳帳!I:I,B8,仕訳帳!E:E)-SUMIF(仕訳帳!J:J,B8,仕訳帳!H:H)))</f>
        <v/>
      </c>
      <c r="E8" s="84"/>
      <c r="F8" s="85">
        <v>154</v>
      </c>
      <c r="G8" s="80" t="s">
        <v>117</v>
      </c>
      <c r="H8" s="83" t="str">
        <f>IF(SUMPRODUCT((ISNUMBER(仕訳帳!$C$4:$C$999))*(MONTH(仕訳帳!$C$4:$C$999)=1)*(DAY(仕訳帳!$C$4:$C$999)=1)*(仕訳帳!$J$4:$J$999=G8)*(ISNUMBER(仕訳帳!$H$4:$H$999)))=0,"",SUMPRODUCT((ISNUMBER(仕訳帳!$C$4:$C$999))*(MONTH(仕訳帳!$C$4:$C$999)=1)*(DAY(仕訳帳!$C$4:$C$999)=1)*(仕訳帳!$J$4:$J$999=G8)*(ISNUMBER(仕訳帳!$H$4:$H$999))*(仕訳帳!$H$4:$H$999)))</f>
        <v/>
      </c>
      <c r="I8" s="83" t="str">
        <f t="array" ref="I8">IF(SUMIF(仕訳帳!J:J,G8,仕訳帳!H:H)-SUMIF(仕訳帳!I:I,G8,仕訳帳!E:E)=0,"",SUMIF(仕訳帳!J:J,G8,仕訳帳!H:H)-SUMIF(仕訳帳!I:I,G8,仕訳帳!E:E))</f>
        <v/>
      </c>
      <c r="K8" s="104"/>
      <c r="L8" s="105"/>
      <c r="M8" s="105"/>
      <c r="N8" s="105"/>
      <c r="O8" s="106"/>
    </row>
    <row r="9" spans="1:15">
      <c r="A9" s="82">
        <v>105</v>
      </c>
      <c r="B9" s="80" t="s">
        <v>98</v>
      </c>
      <c r="C9" s="83" t="str">
        <f>IF(B9="棚卸資産",IF(ISNUMBER(MATCH("期首商品（製品)棚卸高",仕訳帳!$I:$I,0)),INDEX(仕訳帳!$E:$E,MATCH("期首商品（製品)棚卸高",仕訳帳!$I:$I,0)),""),IF(SUMPRODUCT((ISNUMBER(仕訳帳!$C$4:$C$999))*(MONTH(仕訳帳!$C$4:$C$999)=1)*(DAY(仕訳帳!$C$4:$C$999)=1)*(仕訳帳!$I$4:$I$999=B9)*(仕訳帳!$J$4:$J$999&lt;&gt;"売上（収入）")*(ISNUMBER(仕訳帳!$E$4:$E$999)))=0,"",SUMPRODUCT((ISNUMBER(仕訳帳!$C$4:$C$999))*(MONTH(仕訳帳!$C$4:$C$999)=1)*(DAY(仕訳帳!$C$4:$C$999)=1)*(仕訳帳!$I$4:$I$999=B9)*(仕訳帳!$J$4:$J$999&lt;&gt;"売上（収入）")*(ISNUMBER(仕訳帳!$E$4:$E$999))*(仕訳帳!$E$4:$E$999))))</f>
        <v/>
      </c>
      <c r="D9" s="83" t="str">
        <f t="array" ref="D9">IF(B9="棚卸資産",IF(SUMIF(仕訳帳!J:J,"期末商品（製品)棚卸高",仕訳帳!H:H)=0,"",SUMIF(仕訳帳!J:J,"期末商品（製品)棚卸高",仕訳帳!H:H)),IF(SUMIF(仕訳帳!I:I,B9,仕訳帳!E:E)-SUMIF(仕訳帳!J:J,B9,仕訳帳!H:H)=0,"",SUMIF(仕訳帳!I:I,B9,仕訳帳!E:E)-SUMIF(仕訳帳!J:J,B9,仕訳帳!H:H)))</f>
        <v/>
      </c>
      <c r="E9" s="84"/>
      <c r="F9" s="85">
        <v>155</v>
      </c>
      <c r="G9" s="80" t="s">
        <v>118</v>
      </c>
      <c r="H9" s="83" t="str">
        <f>IF(SUMPRODUCT((ISNUMBER(仕訳帳!$C$4:$C$999))*(MONTH(仕訳帳!$C$4:$C$999)=1)*(DAY(仕訳帳!$C$4:$C$999)=1)*(仕訳帳!$J$4:$J$999=G9)*(ISNUMBER(仕訳帳!$H$4:$H$999)))=0,"",SUMPRODUCT((ISNUMBER(仕訳帳!$C$4:$C$999))*(MONTH(仕訳帳!$C$4:$C$999)=1)*(DAY(仕訳帳!$C$4:$C$999)=1)*(仕訳帳!$J$4:$J$999=G9)*(ISNUMBER(仕訳帳!$H$4:$H$999))*(仕訳帳!$H$4:$H$999)))</f>
        <v/>
      </c>
      <c r="I9" s="83" t="str">
        <f t="array" ref="I9">IF(SUMIF(仕訳帳!J:J,G9,仕訳帳!H:H)-SUMIF(仕訳帳!I:I,G9,仕訳帳!E:E)=0,"",SUMIF(仕訳帳!J:J,G9,仕訳帳!H:H)-SUMIF(仕訳帳!I:I,G9,仕訳帳!E:E))</f>
        <v/>
      </c>
      <c r="K9" s="104"/>
      <c r="L9" s="105"/>
      <c r="M9" s="105"/>
      <c r="N9" s="105"/>
      <c r="O9" s="106"/>
    </row>
    <row r="10" spans="1:15">
      <c r="A10" s="82">
        <v>106</v>
      </c>
      <c r="B10" s="80" t="s">
        <v>99</v>
      </c>
      <c r="C10" s="83" t="str">
        <f>IF(B10="棚卸資産",IF(ISNUMBER(MATCH("期首商品（製品)棚卸高",仕訳帳!$I:$I,0)),INDEX(仕訳帳!$E:$E,MATCH("期首商品（製品)棚卸高",仕訳帳!$I:$I,0)),""),IF(SUMPRODUCT((ISNUMBER(仕訳帳!$C$4:$C$999))*(MONTH(仕訳帳!$C$4:$C$999)=1)*(DAY(仕訳帳!$C$4:$C$999)=1)*(仕訳帳!$I$4:$I$999=B10)*(仕訳帳!$J$4:$J$999&lt;&gt;"売上（収入）")*(ISNUMBER(仕訳帳!$E$4:$E$999)))=0,"",SUMPRODUCT((ISNUMBER(仕訳帳!$C$4:$C$999))*(MONTH(仕訳帳!$C$4:$C$999)=1)*(DAY(仕訳帳!$C$4:$C$999)=1)*(仕訳帳!$I$4:$I$999=B10)*(仕訳帳!$J$4:$J$999&lt;&gt;"売上（収入）")*(ISNUMBER(仕訳帳!$E$4:$E$999))*(仕訳帳!$E$4:$E$999))))</f>
        <v/>
      </c>
      <c r="D10" s="83" t="str">
        <f t="array" ref="D10">IF(B10="棚卸資産",IF(SUMIF(仕訳帳!J:J,"期末商品（製品)棚卸高",仕訳帳!H:H)=0,"",SUMIF(仕訳帳!J:J,"期末商品（製品)棚卸高",仕訳帳!H:H)),IF(SUMIF(仕訳帳!I:I,B10,仕訳帳!E:E)-SUMIF(仕訳帳!J:J,B10,仕訳帳!H:H)=0,"",SUMIF(仕訳帳!I:I,B10,仕訳帳!E:E)-SUMIF(仕訳帳!J:J,B10,仕訳帳!H:H)))</f>
        <v/>
      </c>
      <c r="E10" s="84"/>
      <c r="F10" s="85">
        <v>156</v>
      </c>
      <c r="G10" s="80" t="s">
        <v>119</v>
      </c>
      <c r="H10" s="83" t="str">
        <f>IF(SUMPRODUCT((ISNUMBER(仕訳帳!$C$4:$C$999))*(MONTH(仕訳帳!$C$4:$C$999)=1)*(DAY(仕訳帳!$C$4:$C$999)=1)*(仕訳帳!$J$4:$J$999=G10)*(ISNUMBER(仕訳帳!$H$4:$H$999)))=0,"",SUMPRODUCT((ISNUMBER(仕訳帳!$C$4:$C$999))*(MONTH(仕訳帳!$C$4:$C$999)=1)*(DAY(仕訳帳!$C$4:$C$999)=1)*(仕訳帳!$J$4:$J$999=G10)*(ISNUMBER(仕訳帳!$H$4:$H$999))*(仕訳帳!$H$4:$H$999)))</f>
        <v/>
      </c>
      <c r="I10" s="83" t="str">
        <f t="array" ref="I10">IF(SUMIF(仕訳帳!J:J,G10,仕訳帳!H:H)-SUMIF(仕訳帳!I:I,G10,仕訳帳!E:E)=0,"",SUMIF(仕訳帳!J:J,G10,仕訳帳!H:H)-SUMIF(仕訳帳!I:I,G10,仕訳帳!E:E))</f>
        <v/>
      </c>
      <c r="K10" s="104"/>
      <c r="L10" s="105"/>
      <c r="M10" s="105"/>
      <c r="N10" s="105"/>
      <c r="O10" s="106"/>
    </row>
    <row r="11" spans="1:15">
      <c r="A11" s="82">
        <v>107</v>
      </c>
      <c r="B11" s="80" t="s">
        <v>100</v>
      </c>
      <c r="C11" s="83" t="str">
        <f>IF(B11="棚卸資産",IF(ISNUMBER(MATCH("期首商品（製品)棚卸高",仕訳帳!$I:$I,0)),INDEX(仕訳帳!$E:$E,MATCH("期首商品（製品)棚卸高",仕訳帳!$I:$I,0)),""),IF(SUMPRODUCT((ISNUMBER(仕訳帳!$C$4:$C$999))*(MONTH(仕訳帳!$C$4:$C$999)=1)*(DAY(仕訳帳!$C$4:$C$999)=1)*(仕訳帳!$I$4:$I$999=B11)*(仕訳帳!$J$4:$J$999&lt;&gt;"売上（収入）")*(ISNUMBER(仕訳帳!$E$4:$E$999)))=0,"",SUMPRODUCT((ISNUMBER(仕訳帳!$C$4:$C$999))*(MONTH(仕訳帳!$C$4:$C$999)=1)*(DAY(仕訳帳!$C$4:$C$999)=1)*(仕訳帳!$I$4:$I$999=B11)*(仕訳帳!$J$4:$J$999&lt;&gt;"売上（収入）")*(ISNUMBER(仕訳帳!$E$4:$E$999))*(仕訳帳!$E$4:$E$999))))</f>
        <v/>
      </c>
      <c r="D11" s="83" t="str">
        <f t="array" ref="D11">IF(B11="棚卸資産",IF(SUMIF(仕訳帳!J:J,"期末商品（製品)棚卸高",仕訳帳!H:H)=0,"",SUMIF(仕訳帳!J:J,"期末商品（製品)棚卸高",仕訳帳!H:H)),IF(SUMIF(仕訳帳!I:I,B11,仕訳帳!E:E)-SUMIF(仕訳帳!J:J,B11,仕訳帳!H:H)=0,"",SUMIF(仕訳帳!I:I,B11,仕訳帳!E:E)-SUMIF(仕訳帳!J:J,B11,仕訳帳!H:H)))</f>
        <v/>
      </c>
      <c r="E11" s="84"/>
      <c r="F11" s="86"/>
      <c r="G11" s="87"/>
      <c r="H11" s="83" t="str">
        <f>IF(SUMPRODUCT((ISNUMBER(仕訳帳!$C$4:$C$999))*(MONTH(仕訳帳!$C$4:$C$999)=1)*(DAY(仕訳帳!$C$4:$C$999)=1)*(仕訳帳!$J$4:$J$999=G11)*(ISNUMBER(仕訳帳!$H$4:$H$999)))=0,"",SUMPRODUCT((ISNUMBER(仕訳帳!$C$4:$C$999))*(MONTH(仕訳帳!$C$4:$C$999)=1)*(DAY(仕訳帳!$C$4:$C$999)=1)*(仕訳帳!$J$4:$J$999=G11)*(ISNUMBER(仕訳帳!$H$4:$H$999))*(仕訳帳!$H$4:$H$999)))</f>
        <v/>
      </c>
      <c r="I11" s="83" t="str">
        <f t="array" ref="I11">IF(SUMIF(仕訳帳!J:J,G11,仕訳帳!H:H)-SUMIF(仕訳帳!I:I,G11,仕訳帳!E:E)=0,"",SUMIF(仕訳帳!J:J,G11,仕訳帳!H:H)-SUMIF(仕訳帳!I:I,G11,仕訳帳!E:E))</f>
        <v/>
      </c>
      <c r="K11" s="104"/>
      <c r="L11" s="105"/>
      <c r="M11" s="105"/>
      <c r="N11" s="105"/>
      <c r="O11" s="106"/>
    </row>
    <row r="12" spans="1:15">
      <c r="A12" s="82">
        <v>108</v>
      </c>
      <c r="B12" s="80" t="s">
        <v>101</v>
      </c>
      <c r="C12" s="83" t="str">
        <f>IF(B12="棚卸資産",IF(ISNUMBER(MATCH("期首商品（製品)棚卸高",仕訳帳!$I:$I,0)),INDEX(仕訳帳!$E:$E,MATCH("期首商品（製品)棚卸高",仕訳帳!$I:$I,0)),""),IF(SUMPRODUCT((ISNUMBER(仕訳帳!$C$4:$C$999))*(MONTH(仕訳帳!$C$4:$C$999)=1)*(DAY(仕訳帳!$C$4:$C$999)=1)*(仕訳帳!$I$4:$I$999=B12)*(仕訳帳!$J$4:$J$999&lt;&gt;"売上（収入）")*(ISNUMBER(仕訳帳!$E$4:$E$999)))=0,"",SUMPRODUCT((ISNUMBER(仕訳帳!$C$4:$C$999))*(MONTH(仕訳帳!$C$4:$C$999)=1)*(DAY(仕訳帳!$C$4:$C$999)=1)*(仕訳帳!$I$4:$I$999=B12)*(仕訳帳!$J$4:$J$999&lt;&gt;"売上（収入）")*(ISNUMBER(仕訳帳!$E$4:$E$999))*(仕訳帳!$E$4:$E$999))))</f>
        <v/>
      </c>
      <c r="D12" s="83" t="str">
        <f t="array" ref="D12">IF(B12="棚卸資産",IF(SUMIF(仕訳帳!J:J,"期末商品（製品)棚卸高",仕訳帳!H:H)=0,"",SUMIF(仕訳帳!J:J,"期末商品（製品)棚卸高",仕訳帳!H:H)),IF(SUMIF(仕訳帳!I:I,B12,仕訳帳!E:E)-SUMIF(仕訳帳!J:J,B12,仕訳帳!H:H)=0,"",SUMIF(仕訳帳!I:I,B12,仕訳帳!E:E)-SUMIF(仕訳帳!J:J,B12,仕訳帳!H:H)))</f>
        <v/>
      </c>
      <c r="E12" s="84"/>
      <c r="F12" s="86"/>
      <c r="G12" s="87"/>
      <c r="H12" s="83" t="str">
        <f>IF(SUMPRODUCT((ISNUMBER(仕訳帳!$C$4:$C$999))*(MONTH(仕訳帳!$C$4:$C$999)=1)*(DAY(仕訳帳!$C$4:$C$999)=1)*(仕訳帳!$J$4:$J$999=G12)*(ISNUMBER(仕訳帳!$H$4:$H$999)))=0,"",SUMPRODUCT((ISNUMBER(仕訳帳!$C$4:$C$999))*(MONTH(仕訳帳!$C$4:$C$999)=1)*(DAY(仕訳帳!$C$4:$C$999)=1)*(仕訳帳!$J$4:$J$999=G12)*(ISNUMBER(仕訳帳!$H$4:$H$999))*(仕訳帳!$H$4:$H$999)))</f>
        <v/>
      </c>
      <c r="I12" s="83" t="str">
        <f t="array" ref="I12">IF(SUMIF(仕訳帳!J:J,G12,仕訳帳!H:H)-SUMIF(仕訳帳!I:I,G12,仕訳帳!E:E)=0,"",SUMIF(仕訳帳!J:J,G12,仕訳帳!H:H)-SUMIF(仕訳帳!I:I,G12,仕訳帳!E:E))</f>
        <v/>
      </c>
      <c r="K12" s="104"/>
      <c r="L12" s="105"/>
      <c r="M12" s="105"/>
      <c r="N12" s="105"/>
      <c r="O12" s="106"/>
    </row>
    <row r="13" spans="1:15">
      <c r="A13" s="82">
        <v>109</v>
      </c>
      <c r="B13" s="80" t="s">
        <v>275</v>
      </c>
      <c r="C13" s="83" t="str">
        <f>IF(B13="棚卸資産",IF(ISNUMBER(MATCH("期首商品（製品)棚卸高",仕訳帳!$I:$I,0)),INDEX(仕訳帳!$E:$E,MATCH("期首商品（製品)棚卸高",仕訳帳!$I:$I,0)),""),IF(SUMPRODUCT((ISNUMBER(仕訳帳!$C$4:$C$999))*(MONTH(仕訳帳!$C$4:$C$999)=1)*(DAY(仕訳帳!$C$4:$C$999)=1)*(仕訳帳!$I$4:$I$999=B13)*(仕訳帳!$J$4:$J$999&lt;&gt;"売上（収入）")*(ISNUMBER(仕訳帳!$E$4:$E$999)))=0,"",SUMPRODUCT((ISNUMBER(仕訳帳!$C$4:$C$999))*(MONTH(仕訳帳!$C$4:$C$999)=1)*(DAY(仕訳帳!$C$4:$C$999)=1)*(仕訳帳!$I$4:$I$999=B13)*(仕訳帳!$J$4:$J$999&lt;&gt;"売上（収入）")*(ISNUMBER(仕訳帳!$E$4:$E$999))*(仕訳帳!$E$4:$E$999))))</f>
        <v/>
      </c>
      <c r="D13" s="83" t="str">
        <f t="array" ref="D13">IF(B13="棚卸資産",IF(SUMIF(仕訳帳!J:J,"期末商品（製品)棚卸高",仕訳帳!H:H)=0,"",SUMIF(仕訳帳!J:J,"期末商品（製品)棚卸高",仕訳帳!H:H)),IF(SUMIF(仕訳帳!I:I,B13,仕訳帳!E:E)-SUMIF(仕訳帳!J:J,B13,仕訳帳!H:H)=0,"",SUMIF(仕訳帳!I:I,B13,仕訳帳!E:E)-SUMIF(仕訳帳!J:J,B13,仕訳帳!H:H)))</f>
        <v/>
      </c>
      <c r="E13" s="84"/>
      <c r="F13" s="86"/>
      <c r="G13" s="87"/>
      <c r="H13" s="83" t="str">
        <f>IF(SUMPRODUCT((ISNUMBER(仕訳帳!$C$4:$C$999))*(MONTH(仕訳帳!$C$4:$C$999)=1)*(DAY(仕訳帳!$C$4:$C$999)=1)*(仕訳帳!$J$4:$J$999=G13)*(ISNUMBER(仕訳帳!$H$4:$H$999)))=0,"",SUMPRODUCT((ISNUMBER(仕訳帳!$C$4:$C$999))*(MONTH(仕訳帳!$C$4:$C$999)=1)*(DAY(仕訳帳!$C$4:$C$999)=1)*(仕訳帳!$J$4:$J$999=G13)*(ISNUMBER(仕訳帳!$H$4:$H$999))*(仕訳帳!$H$4:$H$999)))</f>
        <v/>
      </c>
      <c r="I13" s="83" t="str">
        <f t="array" ref="I13">IF(SUMIF(仕訳帳!J:J,G13,仕訳帳!H:H)-SUMIF(仕訳帳!I:I,G13,仕訳帳!E:E)=0,"",SUMIF(仕訳帳!J:J,G13,仕訳帳!H:H)-SUMIF(仕訳帳!I:I,G13,仕訳帳!E:E))</f>
        <v/>
      </c>
      <c r="K13" s="104"/>
      <c r="L13" s="105"/>
      <c r="M13" s="105"/>
      <c r="N13" s="105"/>
      <c r="O13" s="106"/>
    </row>
    <row r="14" spans="1:15">
      <c r="A14" s="82">
        <v>110</v>
      </c>
      <c r="B14" s="80" t="s">
        <v>103</v>
      </c>
      <c r="C14" s="83" t="str">
        <f>IF(B14="棚卸資産",IF(ISNUMBER(MATCH("期首商品（製品)棚卸高",仕訳帳!$I:$I,0)),INDEX(仕訳帳!$E:$E,MATCH("期首商品（製品)棚卸高",仕訳帳!$I:$I,0)),""),IF(SUMPRODUCT((ISNUMBER(仕訳帳!$C$4:$C$999))*(MONTH(仕訳帳!$C$4:$C$999)=1)*(DAY(仕訳帳!$C$4:$C$999)=1)*(仕訳帳!$I$4:$I$999=B14)*(仕訳帳!$J$4:$J$999&lt;&gt;"売上（収入）")*(ISNUMBER(仕訳帳!$E$4:$E$999)))=0,"",SUMPRODUCT((ISNUMBER(仕訳帳!$C$4:$C$999))*(MONTH(仕訳帳!$C$4:$C$999)=1)*(DAY(仕訳帳!$C$4:$C$999)=1)*(仕訳帳!$I$4:$I$999=B14)*(仕訳帳!$J$4:$J$999&lt;&gt;"売上（収入）")*(ISNUMBER(仕訳帳!$E$4:$E$999))*(仕訳帳!$E$4:$E$999))))</f>
        <v/>
      </c>
      <c r="D14" s="83" t="str">
        <f t="array" ref="D14">IF(B14="棚卸資産",IF(SUMIF(仕訳帳!J:J,"期末商品（製品)棚卸高",仕訳帳!H:H)=0,"",SUMIF(仕訳帳!J:J,"期末商品（製品)棚卸高",仕訳帳!H:H)),IF(SUMIF(仕訳帳!I:I,B14,仕訳帳!E:E)-SUMIF(仕訳帳!J:J,B14,仕訳帳!H:H)=0,"",SUMIF(仕訳帳!I:I,B14,仕訳帳!E:E)-SUMIF(仕訳帳!J:J,B14,仕訳帳!H:H)))</f>
        <v/>
      </c>
      <c r="E14" s="84"/>
      <c r="F14" s="86"/>
      <c r="G14" s="87"/>
      <c r="H14" s="83" t="str">
        <f>IF(SUMPRODUCT((ISNUMBER(仕訳帳!$C$4:$C$999))*(MONTH(仕訳帳!$C$4:$C$999)=1)*(DAY(仕訳帳!$C$4:$C$999)=1)*(仕訳帳!$J$4:$J$999=G14)*(ISNUMBER(仕訳帳!$H$4:$H$999)))=0,"",SUMPRODUCT((ISNUMBER(仕訳帳!$C$4:$C$999))*(MONTH(仕訳帳!$C$4:$C$999)=1)*(DAY(仕訳帳!$C$4:$C$999)=1)*(仕訳帳!$J$4:$J$999=G14)*(ISNUMBER(仕訳帳!$H$4:$H$999))*(仕訳帳!$H$4:$H$999)))</f>
        <v/>
      </c>
      <c r="I14" s="83" t="str">
        <f t="array" ref="I14">IF(SUMIF(仕訳帳!J:J,G14,仕訳帳!H:H)-SUMIF(仕訳帳!I:I,G14,仕訳帳!E:E)=0,"",SUMIF(仕訳帳!J:J,G14,仕訳帳!H:H)-SUMIF(仕訳帳!I:I,G14,仕訳帳!E:E))</f>
        <v/>
      </c>
      <c r="K14" s="104"/>
      <c r="L14" s="105"/>
      <c r="M14" s="105"/>
      <c r="N14" s="105"/>
      <c r="O14" s="106"/>
    </row>
    <row r="15" spans="1:15">
      <c r="A15" s="82">
        <v>111</v>
      </c>
      <c r="B15" s="80" t="s">
        <v>104</v>
      </c>
      <c r="C15" s="83" t="str">
        <f>IF(B15="棚卸資産",IF(ISNUMBER(MATCH("期首商品（製品)棚卸高",仕訳帳!$I:$I,0)),INDEX(仕訳帳!$E:$E,MATCH("期首商品（製品)棚卸高",仕訳帳!$I:$I,0)),""),IF(SUMPRODUCT((ISNUMBER(仕訳帳!$C$4:$C$999))*(MONTH(仕訳帳!$C$4:$C$999)=1)*(DAY(仕訳帳!$C$4:$C$999)=1)*(仕訳帳!$I$4:$I$999=B15)*(仕訳帳!$J$4:$J$999&lt;&gt;"売上（収入）")*(ISNUMBER(仕訳帳!$E$4:$E$999)))=0,"",SUMPRODUCT((ISNUMBER(仕訳帳!$C$4:$C$999))*(MONTH(仕訳帳!$C$4:$C$999)=1)*(DAY(仕訳帳!$C$4:$C$999)=1)*(仕訳帳!$I$4:$I$999=B15)*(仕訳帳!$J$4:$J$999&lt;&gt;"売上（収入）")*(ISNUMBER(仕訳帳!$E$4:$E$999))*(仕訳帳!$E$4:$E$999))))</f>
        <v/>
      </c>
      <c r="D15" s="83" t="str">
        <f t="array" ref="D15">IF(B15="棚卸資産",IF(SUMIF(仕訳帳!J:J,"期末商品（製品)棚卸高",仕訳帳!H:H)=0,"",SUMIF(仕訳帳!J:J,"期末商品（製品)棚卸高",仕訳帳!H:H)),IF(SUMIF(仕訳帳!I:I,B15,仕訳帳!E:E)-SUMIF(仕訳帳!J:J,B15,仕訳帳!H:H)=0,"",SUMIF(仕訳帳!I:I,B15,仕訳帳!E:E)-SUMIF(仕訳帳!J:J,B15,仕訳帳!H:H)))</f>
        <v/>
      </c>
      <c r="E15" s="84"/>
      <c r="F15" s="86"/>
      <c r="G15" s="87"/>
      <c r="H15" s="83" t="str">
        <f>IF(SUMPRODUCT((ISNUMBER(仕訳帳!$C$4:$C$999))*(MONTH(仕訳帳!$C$4:$C$999)=1)*(DAY(仕訳帳!$C$4:$C$999)=1)*(仕訳帳!$J$4:$J$999=G15)*(ISNUMBER(仕訳帳!$H$4:$H$999)))=0,"",SUMPRODUCT((ISNUMBER(仕訳帳!$C$4:$C$999))*(MONTH(仕訳帳!$C$4:$C$999)=1)*(DAY(仕訳帳!$C$4:$C$999)=1)*(仕訳帳!$J$4:$J$999=G15)*(ISNUMBER(仕訳帳!$H$4:$H$999))*(仕訳帳!$H$4:$H$999)))</f>
        <v/>
      </c>
      <c r="I15" s="83" t="str">
        <f t="array" ref="I15">IF(SUMIF(仕訳帳!J:J,G15,仕訳帳!H:H)-SUMIF(仕訳帳!I:I,G15,仕訳帳!E:E)=0,"",SUMIF(仕訳帳!J:J,G15,仕訳帳!H:H)-SUMIF(仕訳帳!I:I,G15,仕訳帳!E:E))</f>
        <v/>
      </c>
      <c r="K15" s="104"/>
      <c r="L15" s="105"/>
      <c r="M15" s="105" t="s">
        <v>246</v>
      </c>
      <c r="N15" s="105"/>
      <c r="O15" s="106"/>
    </row>
    <row r="16" spans="1:15">
      <c r="A16" s="82">
        <v>112</v>
      </c>
      <c r="B16" s="80" t="s">
        <v>105</v>
      </c>
      <c r="C16" s="83" t="str">
        <f>IF(B16="棚卸資産",IF(ISNUMBER(MATCH("期首商品（製品)棚卸高",仕訳帳!$I:$I,0)),INDEX(仕訳帳!$E:$E,MATCH("期首商品（製品)棚卸高",仕訳帳!$I:$I,0)),""),IF(SUMPRODUCT((ISNUMBER(仕訳帳!$C$4:$C$999))*(MONTH(仕訳帳!$C$4:$C$999)=1)*(DAY(仕訳帳!$C$4:$C$999)=1)*(仕訳帳!$I$4:$I$999=B16)*(仕訳帳!$J$4:$J$999&lt;&gt;"売上（収入）")*(ISNUMBER(仕訳帳!$E$4:$E$999)))=0,"",SUMPRODUCT((ISNUMBER(仕訳帳!$C$4:$C$999))*(MONTH(仕訳帳!$C$4:$C$999)=1)*(DAY(仕訳帳!$C$4:$C$999)=1)*(仕訳帳!$I$4:$I$999=B16)*(仕訳帳!$J$4:$J$999&lt;&gt;"売上（収入）")*(ISNUMBER(仕訳帳!$E$4:$E$999))*(仕訳帳!$E$4:$E$999))))</f>
        <v/>
      </c>
      <c r="D16" s="83" t="str">
        <f t="array" ref="D16">IF(B16="棚卸資産",IF(SUMIF(仕訳帳!J:J,"期末商品（製品)棚卸高",仕訳帳!H:H)=0,"",SUMIF(仕訳帳!J:J,"期末商品（製品)棚卸高",仕訳帳!H:H)),IF(SUMIF(仕訳帳!I:I,B16,仕訳帳!E:E)-SUMIF(仕訳帳!J:J,B16,仕訳帳!H:H)=0,"",SUMIF(仕訳帳!I:I,B16,仕訳帳!E:E)-SUMIF(仕訳帳!J:J,B16,仕訳帳!H:H)))</f>
        <v/>
      </c>
      <c r="E16" s="84"/>
      <c r="F16" s="86"/>
      <c r="G16" s="87"/>
      <c r="H16" s="83" t="str">
        <f>IF(SUMPRODUCT((ISNUMBER(仕訳帳!$C$4:$C$999))*(MONTH(仕訳帳!$C$4:$C$999)=1)*(DAY(仕訳帳!$C$4:$C$999)=1)*(仕訳帳!$J$4:$J$999=G16)*(ISNUMBER(仕訳帳!$H$4:$H$999)))=0,"",SUMPRODUCT((ISNUMBER(仕訳帳!$C$4:$C$999))*(MONTH(仕訳帳!$C$4:$C$999)=1)*(DAY(仕訳帳!$C$4:$C$999)=1)*(仕訳帳!$J$4:$J$999=G16)*(ISNUMBER(仕訳帳!$H$4:$H$999))*(仕訳帳!$H$4:$H$999)))</f>
        <v/>
      </c>
      <c r="I16" s="83" t="str">
        <f t="array" ref="I16">IF(SUMIF(仕訳帳!J:J,G16,仕訳帳!H:H)-SUMIF(仕訳帳!I:I,G16,仕訳帳!E:E)=0,"",SUMIF(仕訳帳!J:J,G16,仕訳帳!H:H)-SUMIF(仕訳帳!I:I,G16,仕訳帳!E:E))</f>
        <v/>
      </c>
      <c r="K16" s="104"/>
      <c r="L16" s="105"/>
      <c r="M16" s="105"/>
      <c r="N16" s="105"/>
      <c r="O16" s="106"/>
    </row>
    <row r="17" spans="1:15">
      <c r="A17" s="82">
        <v>113</v>
      </c>
      <c r="B17" s="80" t="s">
        <v>106</v>
      </c>
      <c r="C17" s="83" t="str">
        <f>IF(B17="棚卸資産",IF(ISNUMBER(MATCH("期首商品（製品)棚卸高",仕訳帳!$I:$I,0)),INDEX(仕訳帳!$E:$E,MATCH("期首商品（製品)棚卸高",仕訳帳!$I:$I,0)),""),IF(SUMPRODUCT((ISNUMBER(仕訳帳!$C$4:$C$999))*(MONTH(仕訳帳!$C$4:$C$999)=1)*(DAY(仕訳帳!$C$4:$C$999)=1)*(仕訳帳!$I$4:$I$999=B17)*(仕訳帳!$J$4:$J$999&lt;&gt;"売上（収入）")*(ISNUMBER(仕訳帳!$E$4:$E$999)))=0,"",SUMPRODUCT((ISNUMBER(仕訳帳!$C$4:$C$999))*(MONTH(仕訳帳!$C$4:$C$999)=1)*(DAY(仕訳帳!$C$4:$C$999)=1)*(仕訳帳!$I$4:$I$999=B17)*(仕訳帳!$J$4:$J$999&lt;&gt;"売上（収入）")*(ISNUMBER(仕訳帳!$E$4:$E$999))*(仕訳帳!$E$4:$E$999))))</f>
        <v/>
      </c>
      <c r="D17" s="83" t="str">
        <f t="array" ref="D17">IF(B17="棚卸資産",IF(SUMIF(仕訳帳!J:J,"期末商品（製品)棚卸高",仕訳帳!H:H)=0,"",SUMIF(仕訳帳!J:J,"期末商品（製品)棚卸高",仕訳帳!H:H)),IF(SUMIF(仕訳帳!I:I,B17,仕訳帳!E:E)-SUMIF(仕訳帳!J:J,B17,仕訳帳!H:H)=0,"",SUMIF(仕訳帳!I:I,B17,仕訳帳!E:E)-SUMIF(仕訳帳!J:J,B17,仕訳帳!H:H)))</f>
        <v/>
      </c>
      <c r="E17" s="84"/>
      <c r="F17" s="86"/>
      <c r="G17" s="87"/>
      <c r="H17" s="83" t="str">
        <f>IF(SUMPRODUCT((ISNUMBER(仕訳帳!$C$4:$C$999))*(MONTH(仕訳帳!$C$4:$C$999)=1)*(DAY(仕訳帳!$C$4:$C$999)=1)*(仕訳帳!$J$4:$J$999=G17)*(ISNUMBER(仕訳帳!$H$4:$H$999)))=0,"",SUMPRODUCT((ISNUMBER(仕訳帳!$C$4:$C$999))*(MONTH(仕訳帳!$C$4:$C$999)=1)*(DAY(仕訳帳!$C$4:$C$999)=1)*(仕訳帳!$J$4:$J$999=G17)*(ISNUMBER(仕訳帳!$H$4:$H$999))*(仕訳帳!$H$4:$H$999)))</f>
        <v/>
      </c>
      <c r="I17" s="83" t="str">
        <f t="array" ref="I17">IF(SUMIF(仕訳帳!J:J,G17,仕訳帳!H:H)-SUMIF(仕訳帳!I:I,G17,仕訳帳!E:E)=0,"",SUMIF(仕訳帳!J:J,G17,仕訳帳!H:H)-SUMIF(仕訳帳!I:I,G17,仕訳帳!E:E))</f>
        <v/>
      </c>
      <c r="K17" s="104"/>
      <c r="L17" s="105"/>
      <c r="M17" s="105"/>
      <c r="N17" s="105"/>
      <c r="O17" s="106"/>
    </row>
    <row r="18" spans="1:15">
      <c r="A18" s="82">
        <v>114</v>
      </c>
      <c r="B18" s="80" t="s">
        <v>107</v>
      </c>
      <c r="C18" s="83" t="str">
        <f>IF(B18="棚卸資産",IF(ISNUMBER(MATCH("期首商品（製品)棚卸高",仕訳帳!$I:$I,0)),INDEX(仕訳帳!$E:$E,MATCH("期首商品（製品)棚卸高",仕訳帳!$I:$I,0)),""),IF(SUMPRODUCT((ISNUMBER(仕訳帳!$C$4:$C$999))*(MONTH(仕訳帳!$C$4:$C$999)=1)*(DAY(仕訳帳!$C$4:$C$999)=1)*(仕訳帳!$I$4:$I$999=B18)*(仕訳帳!$J$4:$J$999&lt;&gt;"売上（収入）")*(ISNUMBER(仕訳帳!$E$4:$E$999)))=0,"",SUMPRODUCT((ISNUMBER(仕訳帳!$C$4:$C$999))*(MONTH(仕訳帳!$C$4:$C$999)=1)*(DAY(仕訳帳!$C$4:$C$999)=1)*(仕訳帳!$I$4:$I$999=B18)*(仕訳帳!$J$4:$J$999&lt;&gt;"売上（収入）")*(ISNUMBER(仕訳帳!$E$4:$E$999))*(仕訳帳!$E$4:$E$999))))</f>
        <v/>
      </c>
      <c r="D18" s="83" t="str">
        <f t="array" ref="D18">IF(B18="棚卸資産",IF(SUMIF(仕訳帳!J:J,"期末商品（製品)棚卸高",仕訳帳!H:H)=0,"",SUMIF(仕訳帳!J:J,"期末商品（製品)棚卸高",仕訳帳!H:H)),IF(SUMIF(仕訳帳!I:I,B18,仕訳帳!E:E)-SUMIF(仕訳帳!J:J,B18,仕訳帳!H:H)=0,"",SUMIF(仕訳帳!I:I,B18,仕訳帳!E:E)-SUMIF(仕訳帳!J:J,B18,仕訳帳!H:H)))</f>
        <v/>
      </c>
      <c r="E18" s="84"/>
      <c r="F18" s="85">
        <v>164</v>
      </c>
      <c r="G18" s="80" t="s">
        <v>120</v>
      </c>
      <c r="H18" s="83" t="str">
        <f>IF(SUMPRODUCT((ISNUMBER(仕訳帳!$C$4:$C$999))*(MONTH(仕訳帳!$C$4:$C$999)=1)*(DAY(仕訳帳!$C$4:$C$999)=1)*(仕訳帳!$J$4:$J$999=G18)*(ISNUMBER(仕訳帳!$H$4:$H$999)))=0,"",SUMPRODUCT((ISNUMBER(仕訳帳!$C$4:$C$999))*(MONTH(仕訳帳!$C$4:$C$999)=1)*(DAY(仕訳帳!$C$4:$C$999)=1)*(仕訳帳!$J$4:$J$999=G18)*(ISNUMBER(仕訳帳!$H$4:$H$999))*(仕訳帳!$H$4:$H$999)))</f>
        <v/>
      </c>
      <c r="I18" s="83" t="str">
        <f t="array" ref="I18">IF(SUMIF(仕訳帳!J:J,G18,仕訳帳!H:H)-SUMIF(仕訳帳!I:I,G18,仕訳帳!E:E)=0,"",SUMIF(仕訳帳!J:J,G18,仕訳帳!H:H)-SUMIF(仕訳帳!I:I,G18,仕訳帳!E:E))</f>
        <v/>
      </c>
      <c r="K18" s="104"/>
      <c r="L18" s="105"/>
      <c r="M18" s="105"/>
      <c r="N18" s="105"/>
      <c r="O18" s="106"/>
    </row>
    <row r="19" spans="1:15">
      <c r="A19" s="82">
        <v>115</v>
      </c>
      <c r="B19" s="80" t="s">
        <v>108</v>
      </c>
      <c r="C19" s="83" t="str">
        <f>IF(B19="棚卸資産",IF(ISNUMBER(MATCH("期首商品（製品)棚卸高",仕訳帳!$I:$I,0)),INDEX(仕訳帳!$E:$E,MATCH("期首商品（製品)棚卸高",仕訳帳!$I:$I,0)),""),IF(SUMPRODUCT((ISNUMBER(仕訳帳!$C$4:$C$999))*(MONTH(仕訳帳!$C$4:$C$999)=1)*(DAY(仕訳帳!$C$4:$C$999)=1)*(仕訳帳!$I$4:$I$999=B19)*(仕訳帳!$J$4:$J$999&lt;&gt;"売上（収入）")*(ISNUMBER(仕訳帳!$E$4:$E$999)))=0,"",SUMPRODUCT((ISNUMBER(仕訳帳!$C$4:$C$999))*(MONTH(仕訳帳!$C$4:$C$999)=1)*(DAY(仕訳帳!$C$4:$C$999)=1)*(仕訳帳!$I$4:$I$999=B19)*(仕訳帳!$J$4:$J$999&lt;&gt;"売上（収入）")*(ISNUMBER(仕訳帳!$E$4:$E$999))*(仕訳帳!$E$4:$E$999))))</f>
        <v/>
      </c>
      <c r="D19" s="83" t="str">
        <f t="array" ref="D19">IF(B19="棚卸資産",IF(SUMIF(仕訳帳!J:J,"期末商品（製品)棚卸高",仕訳帳!H:H)=0,"",SUMIF(仕訳帳!J:J,"期末商品（製品)棚卸高",仕訳帳!H:H)),IF(SUMIF(仕訳帳!I:I,B19,仕訳帳!E:E)-SUMIF(仕訳帳!J:J,B19,仕訳帳!H:H)=0,"",SUMIF(仕訳帳!I:I,B19,仕訳帳!E:E)-SUMIF(仕訳帳!J:J,B19,仕訳帳!H:H)))</f>
        <v/>
      </c>
      <c r="E19" s="84"/>
      <c r="F19" s="86"/>
      <c r="G19" s="87"/>
      <c r="H19" s="83" t="str">
        <f>IF(SUMPRODUCT((ISNUMBER(仕訳帳!$C$4:$C$999))*(MONTH(仕訳帳!$C$4:$C$999)=1)*(DAY(仕訳帳!$C$4:$C$999)=1)*(仕訳帳!$J$4:$J$999=G19)*(ISNUMBER(仕訳帳!$H$4:$H$999)))=0,"",SUMPRODUCT((ISNUMBER(仕訳帳!$C$4:$C$999))*(MONTH(仕訳帳!$C$4:$C$999)=1)*(DAY(仕訳帳!$C$4:$C$999)=1)*(仕訳帳!$J$4:$J$999=G19)*(ISNUMBER(仕訳帳!$H$4:$H$999))*(仕訳帳!$H$4:$H$999)))</f>
        <v/>
      </c>
      <c r="I19" s="83" t="str">
        <f t="array" ref="I19">IF(SUMIF(仕訳帳!J:J,G19,仕訳帳!H:H)-SUMIF(仕訳帳!I:I,G19,仕訳帳!E:E)=0,"",SUMIF(仕訳帳!J:J,G19,仕訳帳!H:H)-SUMIF(仕訳帳!I:I,G19,仕訳帳!E:E))</f>
        <v/>
      </c>
      <c r="K19" s="104"/>
      <c r="L19" s="105"/>
      <c r="M19" s="105"/>
      <c r="N19" s="105"/>
      <c r="O19" s="106"/>
    </row>
    <row r="20" spans="1:15">
      <c r="A20" s="82">
        <v>116</v>
      </c>
      <c r="B20" s="80" t="s">
        <v>109</v>
      </c>
      <c r="C20" s="83" t="str">
        <f>IF(B20="棚卸資産",IF(ISNUMBER(MATCH("期首商品（製品)棚卸高",仕訳帳!$I:$I,0)),INDEX(仕訳帳!$E:$E,MATCH("期首商品（製品)棚卸高",仕訳帳!$I:$I,0)),""),IF(SUMPRODUCT((ISNUMBER(仕訳帳!$C$4:$C$999))*(MONTH(仕訳帳!$C$4:$C$999)=1)*(DAY(仕訳帳!$C$4:$C$999)=1)*(仕訳帳!$I$4:$I$999=B20)*(仕訳帳!$J$4:$J$999&lt;&gt;"売上（収入）")*(ISNUMBER(仕訳帳!$E$4:$E$999)))=0,"",SUMPRODUCT((ISNUMBER(仕訳帳!$C$4:$C$999))*(MONTH(仕訳帳!$C$4:$C$999)=1)*(DAY(仕訳帳!$C$4:$C$999)=1)*(仕訳帳!$I$4:$I$999=B20)*(仕訳帳!$J$4:$J$999&lt;&gt;"売上（収入）")*(ISNUMBER(仕訳帳!$E$4:$E$999))*(仕訳帳!$E$4:$E$999))))</f>
        <v/>
      </c>
      <c r="D20" s="83" t="str">
        <f t="array" ref="D20">IF(B20="棚卸資産",IF(SUMIF(仕訳帳!J:J,"期末商品（製品)棚卸高",仕訳帳!H:H)=0,"",SUMIF(仕訳帳!J:J,"期末商品（製品)棚卸高",仕訳帳!H:H)),IF(SUMIF(仕訳帳!I:I,B20,仕訳帳!E:E)-SUMIF(仕訳帳!J:J,B20,仕訳帳!H:H)=0,"",SUMIF(仕訳帳!I:I,B20,仕訳帳!E:E)-SUMIF(仕訳帳!J:J,B20,仕訳帳!H:H)))</f>
        <v/>
      </c>
      <c r="E20" s="84"/>
      <c r="F20" s="86"/>
      <c r="G20" s="87"/>
      <c r="H20" s="83" t="str">
        <f>IF(SUMPRODUCT((ISNUMBER(仕訳帳!$C$4:$C$999))*(MONTH(仕訳帳!$C$4:$C$999)=1)*(DAY(仕訳帳!$C$4:$C$999)=1)*(仕訳帳!$J$4:$J$999=G20)*(ISNUMBER(仕訳帳!$H$4:$H$999)))=0,"",SUMPRODUCT((ISNUMBER(仕訳帳!$C$4:$C$999))*(MONTH(仕訳帳!$C$4:$C$999)=1)*(DAY(仕訳帳!$C$4:$C$999)=1)*(仕訳帳!$J$4:$J$999=G20)*(ISNUMBER(仕訳帳!$H$4:$H$999))*(仕訳帳!$H$4:$H$999)))</f>
        <v/>
      </c>
      <c r="I20" s="83" t="str">
        <f t="array" ref="I20">IF(SUMIF(仕訳帳!J:J,G20,仕訳帳!H:H)-SUMIF(仕訳帳!I:I,G20,仕訳帳!E:E)=0,"",SUMIF(仕訳帳!J:J,G20,仕訳帳!H:H)-SUMIF(仕訳帳!I:I,G20,仕訳帳!E:E))</f>
        <v/>
      </c>
      <c r="K20" s="104"/>
      <c r="L20" s="105"/>
      <c r="M20" s="105"/>
      <c r="N20" s="105"/>
      <c r="O20" s="106"/>
    </row>
    <row r="21" spans="1:15">
      <c r="A21" s="88"/>
      <c r="B21" s="89"/>
      <c r="C21" s="83" t="str">
        <f>IF(B21="棚卸資産",IF(ISNUMBER(MATCH("期首商品（製品)棚卸高",仕訳帳!$I:$I,0)),INDEX(仕訳帳!$E:$E,MATCH("期首商品（製品)棚卸高",仕訳帳!$I:$I,0)),""),IF(SUMPRODUCT((ISNUMBER(仕訳帳!$C$4:$C$999))*(MONTH(仕訳帳!$C$4:$C$999)=1)*(DAY(仕訳帳!$C$4:$C$999)=1)*(仕訳帳!$I$4:$I$999=B21)*(仕訳帳!$J$4:$J$999&lt;&gt;"売上（収入）")*(ISNUMBER(仕訳帳!$E$4:$E$999)))=0,"",SUMPRODUCT((ISNUMBER(仕訳帳!$C$4:$C$999))*(MONTH(仕訳帳!$C$4:$C$999)=1)*(DAY(仕訳帳!$C$4:$C$999)=1)*(仕訳帳!$I$4:$I$999=B21)*(仕訳帳!$J$4:$J$999&lt;&gt;"売上（収入）")*(ISNUMBER(仕訳帳!$E$4:$E$999))*(仕訳帳!$E$4:$E$999))))</f>
        <v/>
      </c>
      <c r="D21" s="83" t="str">
        <f t="array" ref="D21">IF(B21="棚卸資産",IF(SUMIF(仕訳帳!J:J,"期末商品（製品)棚卸高",仕訳帳!H:H)=0,"",SUMIF(仕訳帳!J:J,"期末商品（製品)棚卸高",仕訳帳!H:H)),IF(SUMIF(仕訳帳!I:I,B21,仕訳帳!E:E)-SUMIF(仕訳帳!J:J,B21,仕訳帳!H:H)=0,"",SUMIF(仕訳帳!I:I,B21,仕訳帳!E:E)-SUMIF(仕訳帳!J:J,B21,仕訳帳!H:H)))</f>
        <v/>
      </c>
      <c r="E21" s="84"/>
      <c r="F21" s="86"/>
      <c r="G21" s="87"/>
      <c r="H21" s="83" t="str">
        <f>IF(SUMPRODUCT((ISNUMBER(仕訳帳!$C$4:$C$999))*(MONTH(仕訳帳!$C$4:$C$999)=1)*(DAY(仕訳帳!$C$4:$C$999)=1)*(仕訳帳!$J$4:$J$999=G21)*(ISNUMBER(仕訳帳!$H$4:$H$999)))=0,"",SUMPRODUCT((ISNUMBER(仕訳帳!$C$4:$C$999))*(MONTH(仕訳帳!$C$4:$C$999)=1)*(DAY(仕訳帳!$C$4:$C$999)=1)*(仕訳帳!$J$4:$J$999=G21)*(ISNUMBER(仕訳帳!$H$4:$H$999))*(仕訳帳!$H$4:$H$999)))</f>
        <v/>
      </c>
      <c r="I21" s="83" t="str">
        <f t="array" ref="I21">IF(SUMIF(仕訳帳!J:J,G21,仕訳帳!H:H)-SUMIF(仕訳帳!I:I,G21,仕訳帳!E:E)=0,"",SUMIF(仕訳帳!J:J,G21,仕訳帳!H:H)-SUMIF(仕訳帳!I:I,G21,仕訳帳!E:E))</f>
        <v/>
      </c>
      <c r="K21" s="104"/>
      <c r="L21" s="105"/>
      <c r="M21" s="105"/>
      <c r="N21" s="105"/>
      <c r="O21" s="106"/>
    </row>
    <row r="22" spans="1:15">
      <c r="A22" s="88"/>
      <c r="B22" s="89"/>
      <c r="C22" s="83" t="str">
        <f>IF(B22="棚卸資産",IF(ISNUMBER(MATCH("期首商品（製品)棚卸高",仕訳帳!$I:$I,0)),INDEX(仕訳帳!$E:$E,MATCH("期首商品（製品)棚卸高",仕訳帳!$I:$I,0)),""),IF(SUMPRODUCT((ISNUMBER(仕訳帳!$C$4:$C$999))*(MONTH(仕訳帳!$C$4:$C$999)=1)*(DAY(仕訳帳!$C$4:$C$999)=1)*(仕訳帳!$I$4:$I$999=B22)*(仕訳帳!$J$4:$J$999&lt;&gt;"売上（収入）")*(ISNUMBER(仕訳帳!$E$4:$E$999)))=0,"",SUMPRODUCT((ISNUMBER(仕訳帳!$C$4:$C$999))*(MONTH(仕訳帳!$C$4:$C$999)=1)*(DAY(仕訳帳!$C$4:$C$999)=1)*(仕訳帳!$I$4:$I$999=B22)*(仕訳帳!$J$4:$J$999&lt;&gt;"売上（収入）")*(ISNUMBER(仕訳帳!$E$4:$E$999))*(仕訳帳!$E$4:$E$999))))</f>
        <v/>
      </c>
      <c r="D22" s="83" t="str">
        <f t="array" ref="D22">IF(B22="棚卸資産",IF(SUMIF(仕訳帳!J:J,"期末商品（製品)棚卸高",仕訳帳!H:H)=0,"",SUMIF(仕訳帳!J:J,"期末商品（製品)棚卸高",仕訳帳!H:H)),IF(SUMIF(仕訳帳!I:I,B22,仕訳帳!E:E)-SUMIF(仕訳帳!J:J,B22,仕訳帳!H:H)=0,"",SUMIF(仕訳帳!I:I,B22,仕訳帳!E:E)-SUMIF(仕訳帳!J:J,B22,仕訳帳!H:H)))</f>
        <v/>
      </c>
      <c r="E22" s="84"/>
      <c r="F22" s="86"/>
      <c r="G22" s="87"/>
      <c r="H22" s="83" t="str">
        <f>IF(SUMPRODUCT((ISNUMBER(仕訳帳!$C$4:$C$999))*(MONTH(仕訳帳!$C$4:$C$999)=1)*(DAY(仕訳帳!$C$4:$C$999)=1)*(仕訳帳!$J$4:$J$999=G22)*(ISNUMBER(仕訳帳!$H$4:$H$999)))=0,"",SUMPRODUCT((ISNUMBER(仕訳帳!$C$4:$C$999))*(MONTH(仕訳帳!$C$4:$C$999)=1)*(DAY(仕訳帳!$C$4:$C$999)=1)*(仕訳帳!$J$4:$J$999=G22)*(ISNUMBER(仕訳帳!$H$4:$H$999))*(仕訳帳!$H$4:$H$999)))</f>
        <v/>
      </c>
      <c r="I22" s="83" t="str">
        <f t="array" ref="I22">IF(SUMIF(仕訳帳!J:J,G22,仕訳帳!H:H)-SUMIF(仕訳帳!I:I,G22,仕訳帳!E:E)=0,"",SUMIF(仕訳帳!J:J,G22,仕訳帳!H:H)-SUMIF(仕訳帳!I:I,G22,仕訳帳!E:E))</f>
        <v/>
      </c>
      <c r="K22" s="104"/>
      <c r="L22" s="105"/>
      <c r="M22" s="105"/>
      <c r="N22" s="105"/>
      <c r="O22" s="106"/>
    </row>
    <row r="23" spans="1:15">
      <c r="A23" s="88"/>
      <c r="B23" s="89"/>
      <c r="C23" s="83" t="str">
        <f>IF(B23="棚卸資産",IF(ISNUMBER(MATCH("期首商品（製品)棚卸高",仕訳帳!$I:$I,0)),INDEX(仕訳帳!$E:$E,MATCH("期首商品（製品)棚卸高",仕訳帳!$I:$I,0)),""),IF(SUMPRODUCT((ISNUMBER(仕訳帳!$C$4:$C$999))*(MONTH(仕訳帳!$C$4:$C$999)=1)*(DAY(仕訳帳!$C$4:$C$999)=1)*(仕訳帳!$I$4:$I$999=B23)*(仕訳帳!$J$4:$J$999&lt;&gt;"売上（収入）")*(ISNUMBER(仕訳帳!$E$4:$E$999)))=0,"",SUMPRODUCT((ISNUMBER(仕訳帳!$C$4:$C$999))*(MONTH(仕訳帳!$C$4:$C$999)=1)*(DAY(仕訳帳!$C$4:$C$999)=1)*(仕訳帳!$I$4:$I$999=B23)*(仕訳帳!$J$4:$J$999&lt;&gt;"売上（収入）")*(ISNUMBER(仕訳帳!$E$4:$E$999))*(仕訳帳!$E$4:$E$999))))</f>
        <v/>
      </c>
      <c r="D23" s="83" t="str">
        <f t="array" ref="D23">IF(B23="棚卸資産",IF(SUMIF(仕訳帳!J:J,"期末商品（製品)棚卸高",仕訳帳!H:H)=0,"",SUMIF(仕訳帳!J:J,"期末商品（製品)棚卸高",仕訳帳!H:H)),IF(SUMIF(仕訳帳!I:I,B23,仕訳帳!E:E)-SUMIF(仕訳帳!J:J,B23,仕訳帳!H:H)=0,"",SUMIF(仕訳帳!I:I,B23,仕訳帳!E:E)-SUMIF(仕訳帳!J:J,B23,仕訳帳!H:H)))</f>
        <v/>
      </c>
      <c r="E23" s="84"/>
      <c r="F23" s="86"/>
      <c r="G23" s="87"/>
      <c r="H23" s="83" t="str">
        <f>IF(SUMPRODUCT((ISNUMBER(仕訳帳!$C$4:$C$999))*(MONTH(仕訳帳!$C$4:$C$999)=1)*(DAY(仕訳帳!$C$4:$C$999)=1)*(仕訳帳!$J$4:$J$999=G23)*(ISNUMBER(仕訳帳!$H$4:$H$999)))=0,"",SUMPRODUCT((ISNUMBER(仕訳帳!$C$4:$C$999))*(MONTH(仕訳帳!$C$4:$C$999)=1)*(DAY(仕訳帳!$C$4:$C$999)=1)*(仕訳帳!$J$4:$J$999=G23)*(ISNUMBER(仕訳帳!$H$4:$H$999))*(仕訳帳!$H$4:$H$999)))</f>
        <v/>
      </c>
      <c r="I23" s="83" t="str">
        <f t="array" ref="I23">IF(SUMIF(仕訳帳!J:J,G23,仕訳帳!H:H)-SUMIF(仕訳帳!I:I,G23,仕訳帳!E:E)=0,"",SUMIF(仕訳帳!J:J,G23,仕訳帳!H:H)-SUMIF(仕訳帳!I:I,G23,仕訳帳!E:E))</f>
        <v/>
      </c>
      <c r="K23" s="104"/>
      <c r="L23" s="105"/>
      <c r="M23" s="105"/>
      <c r="N23" s="105"/>
      <c r="O23" s="106"/>
    </row>
    <row r="24" spans="1:15">
      <c r="A24" s="88"/>
      <c r="B24" s="89"/>
      <c r="C24" s="83" t="str">
        <f>IF(B24="棚卸資産",IF(ISNUMBER(MATCH("期首商品（製品)棚卸高",仕訳帳!$I:$I,0)),INDEX(仕訳帳!$E:$E,MATCH("期首商品（製品)棚卸高",仕訳帳!$I:$I,0)),""),IF(SUMPRODUCT((ISNUMBER(仕訳帳!$C$4:$C$999))*(MONTH(仕訳帳!$C$4:$C$999)=1)*(DAY(仕訳帳!$C$4:$C$999)=1)*(仕訳帳!$I$4:$I$999=B24)*(仕訳帳!$J$4:$J$999&lt;&gt;"売上（収入）")*(ISNUMBER(仕訳帳!$E$4:$E$999)))=0,"",SUMPRODUCT((ISNUMBER(仕訳帳!$C$4:$C$999))*(MONTH(仕訳帳!$C$4:$C$999)=1)*(DAY(仕訳帳!$C$4:$C$999)=1)*(仕訳帳!$I$4:$I$999=B24)*(仕訳帳!$J$4:$J$999&lt;&gt;"売上（収入）")*(ISNUMBER(仕訳帳!$E$4:$E$999))*(仕訳帳!$E$4:$E$999))))</f>
        <v/>
      </c>
      <c r="D24" s="83" t="str">
        <f t="array" ref="D24">IF(B24="棚卸資産",IF(SUMIF(仕訳帳!J:J,"期末商品（製品)棚卸高",仕訳帳!H:H)=0,"",SUMIF(仕訳帳!J:J,"期末商品（製品)棚卸高",仕訳帳!H:H)),IF(SUMIF(仕訳帳!I:I,B24,仕訳帳!E:E)-SUMIF(仕訳帳!J:J,B24,仕訳帳!H:H)=0,"",SUMIF(仕訳帳!I:I,B24,仕訳帳!E:E)-SUMIF(仕訳帳!J:J,B24,仕訳帳!H:H)))</f>
        <v/>
      </c>
      <c r="E24" s="84"/>
      <c r="F24" s="86"/>
      <c r="G24" s="87"/>
      <c r="H24" s="83" t="str">
        <f>IF(SUMPRODUCT((ISNUMBER(仕訳帳!$C$4:$C$999))*(MONTH(仕訳帳!$C$4:$C$999)=1)*(DAY(仕訳帳!$C$4:$C$999)=1)*(仕訳帳!$J$4:$J$999=G24)*(ISNUMBER(仕訳帳!$H$4:$H$999)))=0,"",SUMPRODUCT((ISNUMBER(仕訳帳!$C$4:$C$999))*(MONTH(仕訳帳!$C$4:$C$999)=1)*(DAY(仕訳帳!$C$4:$C$999)=1)*(仕訳帳!$J$4:$J$999=G24)*(ISNUMBER(仕訳帳!$H$4:$H$999))*(仕訳帳!$H$4:$H$999)))</f>
        <v/>
      </c>
      <c r="I24" s="83" t="str">
        <f t="array" ref="I24">IF(SUMIF(仕訳帳!J:J,G24,仕訳帳!H:H)-SUMIF(仕訳帳!I:I,G24,仕訳帳!E:E)=0,"",SUMIF(仕訳帳!J:J,G24,仕訳帳!H:H)-SUMIF(仕訳帳!I:I,G24,仕訳帳!E:E))</f>
        <v/>
      </c>
      <c r="K24" s="104"/>
      <c r="L24" s="105"/>
      <c r="M24" s="105"/>
      <c r="N24" s="105"/>
      <c r="O24" s="106"/>
    </row>
    <row r="25" spans="1:15">
      <c r="A25" s="88"/>
      <c r="B25" s="89"/>
      <c r="C25" s="83" t="str">
        <f>IF(B25="棚卸資産",IF(ISNUMBER(MATCH("期首商品（製品)棚卸高",仕訳帳!$I:$I,0)),INDEX(仕訳帳!$E:$E,MATCH("期首商品（製品)棚卸高",仕訳帳!$I:$I,0)),""),IF(SUMPRODUCT((ISNUMBER(仕訳帳!$C$4:$C$999))*(MONTH(仕訳帳!$C$4:$C$999)=1)*(DAY(仕訳帳!$C$4:$C$999)=1)*(仕訳帳!$I$4:$I$999=B25)*(仕訳帳!$J$4:$J$999&lt;&gt;"売上（収入）")*(ISNUMBER(仕訳帳!$E$4:$E$999)))=0,"",SUMPRODUCT((ISNUMBER(仕訳帳!$C$4:$C$999))*(MONTH(仕訳帳!$C$4:$C$999)=1)*(DAY(仕訳帳!$C$4:$C$999)=1)*(仕訳帳!$I$4:$I$999=B25)*(仕訳帳!$J$4:$J$999&lt;&gt;"売上（収入）")*(ISNUMBER(仕訳帳!$E$4:$E$999))*(仕訳帳!$E$4:$E$999))))</f>
        <v/>
      </c>
      <c r="D25" s="83" t="str">
        <f t="array" ref="D25">IF(B25="棚卸資産",IF(SUMIF(仕訳帳!J:J,"期末商品（製品)棚卸高",仕訳帳!H:H)=0,"",SUMIF(仕訳帳!J:J,"期末商品（製品)棚卸高",仕訳帳!H:H)),IF(SUMIF(仕訳帳!I:I,B25,仕訳帳!E:E)-SUMIF(仕訳帳!J:J,B25,仕訳帳!H:H)=0,"",SUMIF(仕訳帳!I:I,B25,仕訳帳!E:E)-SUMIF(仕訳帳!J:J,B25,仕訳帳!H:H)))</f>
        <v/>
      </c>
      <c r="E25" s="84"/>
      <c r="F25" s="86"/>
      <c r="G25" s="87"/>
      <c r="H25" s="83" t="str">
        <f>IF(SUMPRODUCT((ISNUMBER(仕訳帳!$C$4:$C$999))*(MONTH(仕訳帳!$C$4:$C$999)=1)*(DAY(仕訳帳!$C$4:$C$999)=1)*(仕訳帳!$J$4:$J$999=G25)*(ISNUMBER(仕訳帳!$H$4:$H$999)))=0,"",SUMPRODUCT((ISNUMBER(仕訳帳!$C$4:$C$999))*(MONTH(仕訳帳!$C$4:$C$999)=1)*(DAY(仕訳帳!$C$4:$C$999)=1)*(仕訳帳!$J$4:$J$999=G25)*(ISNUMBER(仕訳帳!$H$4:$H$999))*(仕訳帳!$H$4:$H$999)))</f>
        <v/>
      </c>
      <c r="I25" s="83" t="str">
        <f t="array" ref="I25">IF(SUMIF(仕訳帳!J:J,G25,仕訳帳!H:H)-SUMIF(仕訳帳!I:I,G25,仕訳帳!E:E)=0,"",SUMIF(仕訳帳!J:J,G25,仕訳帳!H:H)-SUMIF(仕訳帳!I:I,G25,仕訳帳!E:E))</f>
        <v/>
      </c>
      <c r="K25" s="104"/>
      <c r="L25" s="105"/>
      <c r="M25" s="105"/>
      <c r="N25" s="105"/>
      <c r="O25" s="106"/>
    </row>
    <row r="26" spans="1:15">
      <c r="A26" s="88"/>
      <c r="B26" s="89"/>
      <c r="C26" s="83" t="str">
        <f>IF(B26="棚卸資産",IF(ISNUMBER(MATCH("期首商品（製品)棚卸高",仕訳帳!$I:$I,0)),INDEX(仕訳帳!$E:$E,MATCH("期首商品（製品)棚卸高",仕訳帳!$I:$I,0)),""),IF(SUMPRODUCT((ISNUMBER(仕訳帳!$C$4:$C$999))*(MONTH(仕訳帳!$C$4:$C$999)=1)*(DAY(仕訳帳!$C$4:$C$999)=1)*(仕訳帳!$I$4:$I$999=B26)*(仕訳帳!$J$4:$J$999&lt;&gt;"売上（収入）")*(ISNUMBER(仕訳帳!$E$4:$E$999)))=0,"",SUMPRODUCT((ISNUMBER(仕訳帳!$C$4:$C$999))*(MONTH(仕訳帳!$C$4:$C$999)=1)*(DAY(仕訳帳!$C$4:$C$999)=1)*(仕訳帳!$I$4:$I$999=B26)*(仕訳帳!$J$4:$J$999&lt;&gt;"売上（収入）")*(ISNUMBER(仕訳帳!$E$4:$E$999))*(仕訳帳!$E$4:$E$999))))</f>
        <v/>
      </c>
      <c r="D26" s="83" t="str">
        <f t="array" ref="D26">IF(B26="棚卸資産",IF(SUMIF(仕訳帳!J:J,"期末商品（製品)棚卸高",仕訳帳!H:H)=0,"",SUMIF(仕訳帳!J:J,"期末商品（製品)棚卸高",仕訳帳!H:H)),IF(SUMIF(仕訳帳!I:I,B26,仕訳帳!E:E)-SUMIF(仕訳帳!J:J,B26,仕訳帳!H:H)=0,"",SUMIF(仕訳帳!I:I,B26,仕訳帳!E:E)-SUMIF(仕訳帳!J:J,B26,仕訳帳!H:H)))</f>
        <v/>
      </c>
      <c r="E26" s="84"/>
      <c r="F26" s="85">
        <v>172</v>
      </c>
      <c r="G26" s="80" t="s">
        <v>123</v>
      </c>
      <c r="H26" s="83"/>
      <c r="I26" s="83" t="str">
        <f t="array" ref="I26">IF(SUMIF(仕訳帳!J:J,G26,仕訳帳!H:H)-SUMIF(仕訳帳!I:I,G26,仕訳帳!E:E)=0,"",SUMIF(仕訳帳!J:J,G26,仕訳帳!H:H)-SUMIF(仕訳帳!I:I,G26,仕訳帳!E:E))</f>
        <v/>
      </c>
      <c r="K26" s="104"/>
      <c r="L26" s="105"/>
      <c r="M26" s="105"/>
      <c r="N26" s="105"/>
      <c r="O26" s="106"/>
    </row>
    <row r="27" spans="1:15">
      <c r="A27" s="70">
        <v>123</v>
      </c>
      <c r="B27" s="90" t="s">
        <v>110</v>
      </c>
      <c r="C27" s="83" t="str">
        <f>IF(B27="棚卸資産",IF(ISNUMBER(MATCH("期首商品（製品)棚卸高",仕訳帳!$I:$I,0)),INDEX(仕訳帳!$E:$E,MATCH("期首商品（製品)棚卸高",仕訳帳!$I:$I,0)),""),IF(SUMPRODUCT((ISNUMBER(仕訳帳!$C$4:$C$999))*(MONTH(仕訳帳!$C$4:$C$999)=1)*(DAY(仕訳帳!$C$4:$C$999)=1)*(仕訳帳!$I$4:$I$999=B27)*(仕訳帳!$J$4:$J$999&lt;&gt;"売上（収入）")*(ISNUMBER(仕訳帳!$E$4:$E$999)))=0,"",SUMPRODUCT((ISNUMBER(仕訳帳!$C$4:$C$999))*(MONTH(仕訳帳!$C$4:$C$999)=1)*(DAY(仕訳帳!$C$4:$C$999)=1)*(仕訳帳!$I$4:$I$999=B27)*(仕訳帳!$J$4:$J$999&lt;&gt;"売上（収入）")*(ISNUMBER(仕訳帳!$E$4:$E$999))*(仕訳帳!$E$4:$E$999))))</f>
        <v/>
      </c>
      <c r="D27" s="83" t="str">
        <f t="array" ref="D27">IF(B27="棚卸資産",IF(SUMIF(仕訳帳!J:J,"期末商品（製品)棚卸高",仕訳帳!H:H)=0,"",SUMIF(仕訳帳!J:J,"期末商品（製品)棚卸高",仕訳帳!H:H)),IF(SUMIF(仕訳帳!I:I,B27,仕訳帳!E:E)-SUMIF(仕訳帳!J:J,B27,仕訳帳!H:H)=0,"",SUMIF(仕訳帳!I:I,B27,仕訳帳!E:E)-SUMIF(仕訳帳!J:J,B27,仕訳帳!H:H)))</f>
        <v/>
      </c>
      <c r="E27" s="84"/>
      <c r="F27" s="85">
        <v>199</v>
      </c>
      <c r="G27" s="80" t="s">
        <v>124</v>
      </c>
      <c r="H27" s="83">
        <f>C29-SUM(H5:H25)</f>
        <v>0</v>
      </c>
      <c r="I27" s="83">
        <f>IF(H27=0,SUMIF(仕訳帳!J:J,"元入金",仕訳帳!E:E),H27)</f>
        <v>0</v>
      </c>
      <c r="K27" s="104"/>
      <c r="L27" s="105"/>
      <c r="M27" s="105"/>
      <c r="N27" s="105"/>
      <c r="O27" s="106"/>
    </row>
    <row r="28" ht="27" customHeight="1" spans="1:15">
      <c r="A28" s="70">
        <v>124</v>
      </c>
      <c r="B28" s="90" t="s">
        <v>111</v>
      </c>
      <c r="C28" s="91"/>
      <c r="D28" s="83" t="str">
        <f t="array" ref="D28">IF(B28="棚卸資産",IF(SUMIF(仕訳帳!J:J,"期末商品（製品)棚卸高",仕訳帳!H:H)=0,"",SUMIF(仕訳帳!J:J,"期末商品（製品)棚卸高",仕訳帳!H:H)),IF(SUMIF(仕訳帳!I:I,B28,仕訳帳!E:E)-SUMIF(仕訳帳!J:J,B28,仕訳帳!H:H)=0,"",SUMIF(仕訳帳!I:I,B28,仕訳帳!E:E)-SUMIF(仕訳帳!J:J,B28,仕訳帳!H:H)))</f>
        <v/>
      </c>
      <c r="E28" s="84"/>
      <c r="F28" s="92"/>
      <c r="G28" s="93" t="s">
        <v>276</v>
      </c>
      <c r="H28" s="91"/>
      <c r="I28" s="107">
        <f>IFERROR(IF('①青色申告決算書（損益計算書）'!P16&lt;&gt;"",'①青色申告決算書（損益計算書）'!P16,""),"")</f>
        <v>0</v>
      </c>
      <c r="K28" s="104"/>
      <c r="L28" s="105"/>
      <c r="M28" s="105"/>
      <c r="N28" s="105"/>
      <c r="O28" s="106"/>
    </row>
    <row r="29" ht="13.95" spans="2:15">
      <c r="B29" s="94" t="s">
        <v>277</v>
      </c>
      <c r="C29" s="95">
        <f>SUM(C5:C27)</f>
        <v>0</v>
      </c>
      <c r="D29" s="96">
        <f>SUM(D5:D28)</f>
        <v>0</v>
      </c>
      <c r="E29" s="97"/>
      <c r="F29" s="92"/>
      <c r="G29" s="98" t="s">
        <v>277</v>
      </c>
      <c r="H29" s="99">
        <f>SUM(H5:H25)+H27</f>
        <v>0</v>
      </c>
      <c r="I29" s="96">
        <f>SUM(I5:I28)</f>
        <v>0</v>
      </c>
      <c r="K29" s="108"/>
      <c r="L29" s="109"/>
      <c r="M29" s="109"/>
      <c r="N29" s="109"/>
      <c r="O29" s="110"/>
    </row>
    <row r="30" spans="6:6">
      <c r="F30" s="74"/>
    </row>
  </sheetData>
  <pageMargins left="0.75" right="0.75" top="1" bottom="1" header="0.5" footer="0.5"/>
  <pageSetup paperSize="9" orientation="landscape"/>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2"/>
  <sheetViews>
    <sheetView workbookViewId="0">
      <pane ySplit="4" topLeftCell="A5" activePane="bottomLeft" state="frozen"/>
      <selection/>
      <selection pane="bottomLeft" activeCell="A1" sqref="A1"/>
    </sheetView>
  </sheetViews>
  <sheetFormatPr defaultColWidth="8.88888888888889" defaultRowHeight="13.2"/>
  <cols>
    <col min="1" max="1" width="4.33333333333333" style="3" customWidth="1"/>
    <col min="2" max="2" width="8.49074074074074" style="53" customWidth="1"/>
    <col min="3" max="3" width="11.1111111111111" style="54" customWidth="1"/>
    <col min="4" max="4" width="20.0925925925926" style="54" customWidth="1"/>
    <col min="5" max="5" width="11.3055555555556" style="48" customWidth="1"/>
    <col min="6" max="6" width="14.5925925925926" style="54" customWidth="1"/>
    <col min="7" max="7" width="10.8148148148148" style="3" customWidth="1"/>
    <col min="8" max="8" width="13.3240740740741" style="3" customWidth="1"/>
    <col min="9" max="9" width="11.0185185185185" style="3" customWidth="1"/>
    <col min="10" max="10" width="11.1018518518519" style="3" customWidth="1"/>
    <col min="11" max="11" width="22.0277777777778" style="3" customWidth="1"/>
    <col min="12" max="12" width="17.7685185185185" style="3" customWidth="1"/>
    <col min="13" max="16384" width="8.88888888888889" style="3"/>
  </cols>
  <sheetData>
    <row r="1" ht="22" customHeight="1" spans="1:11">
      <c r="A1" s="55" t="s">
        <v>278</v>
      </c>
      <c r="B1" s="56"/>
      <c r="C1" s="4"/>
      <c r="D1" s="4"/>
      <c r="E1" s="6"/>
      <c r="F1" s="4"/>
      <c r="G1" s="57"/>
      <c r="H1" s="57"/>
      <c r="I1" s="57"/>
      <c r="J1" s="57"/>
      <c r="K1" s="57"/>
    </row>
    <row r="2" ht="32" customHeight="1" spans="3:8">
      <c r="C2" s="58" t="s">
        <v>11</v>
      </c>
      <c r="D2" s="59"/>
      <c r="E2" s="60" t="s">
        <v>279</v>
      </c>
      <c r="F2" s="61"/>
      <c r="G2" s="62"/>
      <c r="H2" s="62"/>
    </row>
    <row r="4" s="52" customFormat="1" spans="2:12">
      <c r="B4" s="63" t="s">
        <v>146</v>
      </c>
      <c r="C4" s="64" t="s">
        <v>280</v>
      </c>
      <c r="D4" s="64" t="s">
        <v>281</v>
      </c>
      <c r="E4" s="64" t="s">
        <v>282</v>
      </c>
      <c r="F4" s="64" t="s">
        <v>283</v>
      </c>
      <c r="G4" s="64" t="s">
        <v>284</v>
      </c>
      <c r="H4" s="64" t="s">
        <v>285</v>
      </c>
      <c r="I4" s="64" t="s">
        <v>286</v>
      </c>
      <c r="J4" s="64" t="s">
        <v>287</v>
      </c>
      <c r="K4" s="64" t="s">
        <v>149</v>
      </c>
      <c r="L4" s="64" t="s">
        <v>154</v>
      </c>
    </row>
    <row r="5" ht="12" customHeight="1" spans="2:12">
      <c r="B5" s="65" t="str">
        <f>IF(C5&lt;&gt;"",INDEX(仕訳帳!C:C,MATCH(C5,仕訳帳!B:B,0)),"")</f>
        <v/>
      </c>
      <c r="C5" s="66" t="str">
        <f t="array" ref="C5">IF($D$2="","",IFERROR(INDEX(仕訳帳!B:B,MATCH(SMALL(IF((仕訳帳!I:I=$D$2)+(仕訳帳!J:J=$D$2),仕訳帳!C:C*10000+ROW(仕訳帳!C:C)),ROW(A1)),仕訳帳!C:C*10000+ROW(仕訳帳!C:C),0)),""))</f>
        <v/>
      </c>
      <c r="D5" s="66" t="str">
        <f>IF(C5&lt;&gt;"",IF(INDEX(仕訳帳!I:I,MATCH(C5,仕訳帳!B:B,0))=$D$2,"---",INDEX(仕訳帳!I:I,MATCH(C5,仕訳帳!B:B,0))),"")</f>
        <v/>
      </c>
      <c r="E5" s="67" t="str">
        <f>IF(C5&lt;&gt;"",IF(INDEX(仕訳帳!I:I,MATCH(C5,仕訳帳!B:B,0))=$D$2,"-",INDEX(仕訳帳!E:E,MATCH(C5,仕訳帳!B:B,0))),"")</f>
        <v/>
      </c>
      <c r="F5" s="66" t="str">
        <f>IF(C5&lt;&gt;"",IF(INDEX(仕訳帳!J:J,MATCH(C5,仕訳帳!B:B,0))=$D$2,"---",INDEX(仕訳帳!J:J,MATCH(C5,仕訳帳!B:B,0))),"")</f>
        <v/>
      </c>
      <c r="G5" s="67" t="str">
        <f>IF(C5&lt;&gt;"",IF(INDEX(仕訳帳!J:J,MATCH(C5,仕訳帳!B:B,0))=$D$2,"-",INDEX(仕訳帳!H:H,MATCH(C5,仕訳帳!B:B,0))),"")</f>
        <v/>
      </c>
      <c r="H5" s="68" t="str">
        <f>IF(B5="","",SUM(H4,IF(E5="-",0,-E5)+IF(G5="-",0,G5)))</f>
        <v/>
      </c>
      <c r="I5" s="68" t="str">
        <f>IF(C5="","",IF(ROW()=5,0,I4)+IF(E5="-",0,IF(E5="",0,E5)))</f>
        <v/>
      </c>
      <c r="J5" s="68" t="str">
        <f>IF(C5="","",IF(ROW()=5,0,J4)+IF(G5="-",0,IF(G5="",0,G5)))</f>
        <v/>
      </c>
      <c r="K5" s="69" t="str">
        <f>IF(C5&lt;&gt;"",IF(INDEX(仕訳帳!F:F,MATCH(C5,仕訳帳!B:B,0))="","",INDEX(仕訳帳!F:F,MATCH(C5,仕訳帳!B:B,0))),"")</f>
        <v/>
      </c>
      <c r="L5" s="69" t="str">
        <f>IF(C5&lt;&gt;"",IF(INDEX(仕訳帳!K:K,MATCH(C5,仕訳帳!B:B,0))="","",INDEX(仕訳帳!K:K,MATCH(C5,仕訳帳!B:B,0))),"")</f>
        <v/>
      </c>
    </row>
    <row r="6" spans="2:12">
      <c r="B6" s="65" t="str">
        <f>IF(C6&lt;&gt;"",INDEX(仕訳帳!C:C,MATCH(C6,仕訳帳!B:B,0)),"")</f>
        <v/>
      </c>
      <c r="C6" s="66" t="str">
        <f t="array" ref="C6">IF($D$2="","",IFERROR(INDEX(仕訳帳!B:B,MATCH(SMALL(IF((仕訳帳!I:I=$D$2)+(仕訳帳!J:J=$D$2),仕訳帳!C:C*10000+ROW(仕訳帳!C:C)),ROW(A2)),仕訳帳!C:C*10000+ROW(仕訳帳!C:C),0)),""))</f>
        <v/>
      </c>
      <c r="D6" s="66" t="str">
        <f>IF(C6&lt;&gt;"",IF(INDEX(仕訳帳!I:I,MATCH(C6,仕訳帳!B:B,0))=$D$2,"---",INDEX(仕訳帳!I:I,MATCH(C6,仕訳帳!B:B,0))),"")</f>
        <v/>
      </c>
      <c r="E6" s="67" t="str">
        <f>IF(C6&lt;&gt;"",IF(INDEX(仕訳帳!I:I,MATCH(C6,仕訳帳!B:B,0))=$D$2,"-",INDEX(仕訳帳!E:E,MATCH(C6,仕訳帳!B:B,0))),"")</f>
        <v/>
      </c>
      <c r="F6" s="66" t="str">
        <f>IF(C6&lt;&gt;"",IF(INDEX(仕訳帳!J:J,MATCH(C6,仕訳帳!B:B,0))=$D$2,"---",INDEX(仕訳帳!J:J,MATCH(C6,仕訳帳!B:B,0))),"")</f>
        <v/>
      </c>
      <c r="G6" s="67" t="str">
        <f>IF(C6&lt;&gt;"",IF(INDEX(仕訳帳!J:J,MATCH(C6,仕訳帳!B:B,0))=$D$2,"-",INDEX(仕訳帳!H:H,MATCH(C6,仕訳帳!B:B,0))),"")</f>
        <v/>
      </c>
      <c r="H6" s="68" t="str">
        <f t="shared" ref="H6:H19" si="0">IF(B6="","",SUM(H5,IF(E6="-",0,-E6)+IF(G6="-",0,G6)))</f>
        <v/>
      </c>
      <c r="I6" s="68" t="str">
        <f t="shared" ref="I6:I19" si="1">IF(C6="","",IF(ROW()=5,0,I5)+IF(E6="-",0,IF(E6="",0,E6)))</f>
        <v/>
      </c>
      <c r="J6" s="68" t="str">
        <f t="shared" ref="J6:J19" si="2">IF(C6="","",IF(ROW()=5,0,J5)+IF(G6="-",0,IF(G6="",0,G6)))</f>
        <v/>
      </c>
      <c r="K6" s="69" t="str">
        <f>IF(C6&lt;&gt;"",IF(INDEX(仕訳帳!F:F,MATCH(C6,仕訳帳!B:B,0))="","",INDEX(仕訳帳!F:F,MATCH(C6,仕訳帳!B:B,0))),"")</f>
        <v/>
      </c>
      <c r="L6" s="69" t="str">
        <f>IF(C6&lt;&gt;"",IF(INDEX(仕訳帳!K:K,MATCH(C6,仕訳帳!B:B,0))="","",INDEX(仕訳帳!K:K,MATCH(C6,仕訳帳!B:B,0))),"")</f>
        <v/>
      </c>
    </row>
    <row r="7" ht="13" customHeight="1" spans="2:12">
      <c r="B7" s="65" t="str">
        <f>IF(C7&lt;&gt;"",INDEX(仕訳帳!C:C,MATCH(C7,仕訳帳!B:B,0)),"")</f>
        <v/>
      </c>
      <c r="C7" s="66" t="str">
        <f t="array" ref="C7">IF($D$2="","",IFERROR(INDEX(仕訳帳!B:B,MATCH(SMALL(IF((仕訳帳!I:I=$D$2)+(仕訳帳!J:J=$D$2),仕訳帳!C:C*10000+ROW(仕訳帳!C:C)),ROW(A3)),仕訳帳!C:C*10000+ROW(仕訳帳!C:C),0)),""))</f>
        <v/>
      </c>
      <c r="D7" s="66" t="str">
        <f>IF(C7&lt;&gt;"",IF(INDEX(仕訳帳!I:I,MATCH(C7,仕訳帳!B:B,0))=$D$2,"---",INDEX(仕訳帳!I:I,MATCH(C7,仕訳帳!B:B,0))),"")</f>
        <v/>
      </c>
      <c r="E7" s="67" t="str">
        <f>IF(C7&lt;&gt;"",IF(INDEX(仕訳帳!I:I,MATCH(C7,仕訳帳!B:B,0))=$D$2,"-",INDEX(仕訳帳!E:E,MATCH(C7,仕訳帳!B:B,0))),"")</f>
        <v/>
      </c>
      <c r="F7" s="66" t="str">
        <f>IF(C7&lt;&gt;"",IF(INDEX(仕訳帳!J:J,MATCH(C7,仕訳帳!B:B,0))=$D$2,"---",INDEX(仕訳帳!J:J,MATCH(C7,仕訳帳!B:B,0))),"")</f>
        <v/>
      </c>
      <c r="G7" s="67" t="str">
        <f>IF(C7&lt;&gt;"",IF(INDEX(仕訳帳!J:J,MATCH(C7,仕訳帳!B:B,0))=$D$2,"-",INDEX(仕訳帳!H:H,MATCH(C7,仕訳帳!B:B,0))),"")</f>
        <v/>
      </c>
      <c r="H7" s="68" t="str">
        <f t="shared" si="0"/>
        <v/>
      </c>
      <c r="I7" s="68" t="str">
        <f t="shared" si="1"/>
        <v/>
      </c>
      <c r="J7" s="68" t="str">
        <f t="shared" si="2"/>
        <v/>
      </c>
      <c r="K7" s="69" t="str">
        <f>IF(C7&lt;&gt;"",IF(INDEX(仕訳帳!F:F,MATCH(C7,仕訳帳!B:B,0))="","",INDEX(仕訳帳!F:F,MATCH(C7,仕訳帳!B:B,0))),"")</f>
        <v/>
      </c>
      <c r="L7" s="69" t="str">
        <f>IF(C7&lt;&gt;"",IF(INDEX(仕訳帳!K:K,MATCH(C7,仕訳帳!B:B,0))="","",INDEX(仕訳帳!K:K,MATCH(C7,仕訳帳!B:B,0))),"")</f>
        <v/>
      </c>
    </row>
    <row r="8" spans="2:12">
      <c r="B8" s="65" t="str">
        <f>IF(C8&lt;&gt;"",INDEX(仕訳帳!C:C,MATCH(C8,仕訳帳!B:B,0)),"")</f>
        <v/>
      </c>
      <c r="C8" s="66" t="str">
        <f t="array" ref="C8">IF($D$2="","",IFERROR(INDEX(仕訳帳!B:B,MATCH(SMALL(IF((仕訳帳!I:I=$D$2)+(仕訳帳!J:J=$D$2),仕訳帳!C:C*10000+ROW(仕訳帳!C:C)),ROW(A4)),仕訳帳!C:C*10000+ROW(仕訳帳!C:C),0)),""))</f>
        <v/>
      </c>
      <c r="D8" s="66" t="str">
        <f>IF(C8&lt;&gt;"",IF(INDEX(仕訳帳!I:I,MATCH(C8,仕訳帳!B:B,0))=$D$2,"---",INDEX(仕訳帳!I:I,MATCH(C8,仕訳帳!B:B,0))),"")</f>
        <v/>
      </c>
      <c r="E8" s="67" t="str">
        <f>IF(C8&lt;&gt;"",IF(INDEX(仕訳帳!I:I,MATCH(C8,仕訳帳!B:B,0))=$D$2,"-",INDEX(仕訳帳!E:E,MATCH(C8,仕訳帳!B:B,0))),"")</f>
        <v/>
      </c>
      <c r="F8" s="66" t="str">
        <f>IF(C8&lt;&gt;"",IF(INDEX(仕訳帳!J:J,MATCH(C8,仕訳帳!B:B,0))=$D$2,"---",INDEX(仕訳帳!J:J,MATCH(C8,仕訳帳!B:B,0))),"")</f>
        <v/>
      </c>
      <c r="G8" s="67" t="str">
        <f>IF(C8&lt;&gt;"",IF(INDEX(仕訳帳!J:J,MATCH(C8,仕訳帳!B:B,0))=$D$2,"-",INDEX(仕訳帳!H:H,MATCH(C8,仕訳帳!B:B,0))),"")</f>
        <v/>
      </c>
      <c r="H8" s="68" t="str">
        <f t="shared" si="0"/>
        <v/>
      </c>
      <c r="I8" s="68" t="str">
        <f t="shared" si="1"/>
        <v/>
      </c>
      <c r="J8" s="68" t="str">
        <f t="shared" si="2"/>
        <v/>
      </c>
      <c r="K8" s="69" t="str">
        <f>IF(C8&lt;&gt;"",IF(INDEX(仕訳帳!F:F,MATCH(C8,仕訳帳!B:B,0))="","",INDEX(仕訳帳!F:F,MATCH(C8,仕訳帳!B:B,0))),"")</f>
        <v/>
      </c>
      <c r="L8" s="69" t="str">
        <f>IF(C8&lt;&gt;"",IF(INDEX(仕訳帳!K:K,MATCH(C8,仕訳帳!B:B,0))="","",INDEX(仕訳帳!K:K,MATCH(C8,仕訳帳!B:B,0))),"")</f>
        <v/>
      </c>
    </row>
    <row r="9" spans="2:12">
      <c r="B9" s="65" t="str">
        <f>IF(C9&lt;&gt;"",INDEX(仕訳帳!C:C,MATCH(C9,仕訳帳!B:B,0)),"")</f>
        <v/>
      </c>
      <c r="C9" s="66" t="str">
        <f t="array" ref="C9">IF($D$2="","",IFERROR(INDEX(仕訳帳!B:B,MATCH(SMALL(IF((仕訳帳!I:I=$D$2)+(仕訳帳!J:J=$D$2),仕訳帳!C:C*10000+ROW(仕訳帳!C:C)),ROW(A5)),仕訳帳!C:C*10000+ROW(仕訳帳!C:C),0)),""))</f>
        <v/>
      </c>
      <c r="D9" s="66" t="str">
        <f>IF(C9&lt;&gt;"",IF(INDEX(仕訳帳!I:I,MATCH(C9,仕訳帳!B:B,0))=$D$2,"---",INDEX(仕訳帳!I:I,MATCH(C9,仕訳帳!B:B,0))),"")</f>
        <v/>
      </c>
      <c r="E9" s="67" t="str">
        <f>IF(C9&lt;&gt;"",IF(INDEX(仕訳帳!I:I,MATCH(C9,仕訳帳!B:B,0))=$D$2,"-",INDEX(仕訳帳!E:E,MATCH(C9,仕訳帳!B:B,0))),"")</f>
        <v/>
      </c>
      <c r="F9" s="66" t="str">
        <f>IF(C9&lt;&gt;"",IF(INDEX(仕訳帳!J:J,MATCH(C9,仕訳帳!B:B,0))=$D$2,"---",INDEX(仕訳帳!J:J,MATCH(C9,仕訳帳!B:B,0))),"")</f>
        <v/>
      </c>
      <c r="G9" s="67" t="str">
        <f>IF(C9&lt;&gt;"",IF(INDEX(仕訳帳!J:J,MATCH(C9,仕訳帳!B:B,0))=$D$2,"-",INDEX(仕訳帳!H:H,MATCH(C9,仕訳帳!B:B,0))),"")</f>
        <v/>
      </c>
      <c r="H9" s="68" t="str">
        <f t="shared" si="0"/>
        <v/>
      </c>
      <c r="I9" s="68" t="str">
        <f t="shared" si="1"/>
        <v/>
      </c>
      <c r="J9" s="68" t="str">
        <f t="shared" si="2"/>
        <v/>
      </c>
      <c r="K9" s="69" t="str">
        <f>IF(C9&lt;&gt;"",IF(INDEX(仕訳帳!F:F,MATCH(C9,仕訳帳!B:B,0))="","",INDEX(仕訳帳!F:F,MATCH(C9,仕訳帳!B:B,0))),"")</f>
        <v/>
      </c>
      <c r="L9" s="69" t="str">
        <f>IF(C9&lt;&gt;"",IF(INDEX(仕訳帳!K:K,MATCH(C9,仕訳帳!B:B,0))="","",INDEX(仕訳帳!K:K,MATCH(C9,仕訳帳!B:B,0))),"")</f>
        <v/>
      </c>
    </row>
    <row r="10" spans="2:12">
      <c r="B10" s="65" t="str">
        <f>IF(C10&lt;&gt;"",INDEX(仕訳帳!C:C,MATCH(C10,仕訳帳!B:B,0)),"")</f>
        <v/>
      </c>
      <c r="C10" s="66" t="str">
        <f t="array" ref="C10">IF($D$2="","",IFERROR(INDEX(仕訳帳!B:B,MATCH(SMALL(IF((仕訳帳!I:I=$D$2)+(仕訳帳!J:J=$D$2),仕訳帳!C:C*10000+ROW(仕訳帳!C:C)),ROW(A6)),仕訳帳!C:C*10000+ROW(仕訳帳!C:C),0)),""))</f>
        <v/>
      </c>
      <c r="D10" s="66" t="str">
        <f>IF(C10&lt;&gt;"",IF(INDEX(仕訳帳!I:I,MATCH(C10,仕訳帳!B:B,0))=$D$2,"---",INDEX(仕訳帳!I:I,MATCH(C10,仕訳帳!B:B,0))),"")</f>
        <v/>
      </c>
      <c r="E10" s="67" t="str">
        <f>IF(C10&lt;&gt;"",IF(INDEX(仕訳帳!I:I,MATCH(C10,仕訳帳!B:B,0))=$D$2,"-",INDEX(仕訳帳!E:E,MATCH(C10,仕訳帳!B:B,0))),"")</f>
        <v/>
      </c>
      <c r="F10" s="66" t="str">
        <f>IF(C10&lt;&gt;"",IF(INDEX(仕訳帳!J:J,MATCH(C10,仕訳帳!B:B,0))=$D$2,"---",INDEX(仕訳帳!J:J,MATCH(C10,仕訳帳!B:B,0))),"")</f>
        <v/>
      </c>
      <c r="G10" s="67" t="str">
        <f>IF(C10&lt;&gt;"",IF(INDEX(仕訳帳!J:J,MATCH(C10,仕訳帳!B:B,0))=$D$2,"-",INDEX(仕訳帳!H:H,MATCH(C10,仕訳帳!B:B,0))),"")</f>
        <v/>
      </c>
      <c r="H10" s="68" t="str">
        <f t="shared" si="0"/>
        <v/>
      </c>
      <c r="I10" s="68" t="str">
        <f t="shared" si="1"/>
        <v/>
      </c>
      <c r="J10" s="68" t="str">
        <f t="shared" si="2"/>
        <v/>
      </c>
      <c r="K10" s="69" t="str">
        <f>IF(C10&lt;&gt;"",IF(INDEX(仕訳帳!F:F,MATCH(C10,仕訳帳!B:B,0))="","",INDEX(仕訳帳!F:F,MATCH(C10,仕訳帳!B:B,0))),"")</f>
        <v/>
      </c>
      <c r="L10" s="69" t="str">
        <f>IF(C10&lt;&gt;"",IF(INDEX(仕訳帳!K:K,MATCH(C10,仕訳帳!B:B,0))="","",INDEX(仕訳帳!K:K,MATCH(C10,仕訳帳!B:B,0))),"")</f>
        <v/>
      </c>
    </row>
    <row r="11" spans="2:12">
      <c r="B11" s="65" t="str">
        <f>IF(C11&lt;&gt;"",INDEX(仕訳帳!C:C,MATCH(C11,仕訳帳!B:B,0)),"")</f>
        <v/>
      </c>
      <c r="C11" s="66" t="str">
        <f t="array" ref="C11">IF($D$2="","",IFERROR(INDEX(仕訳帳!B:B,MATCH(SMALL(IF((仕訳帳!I:I=$D$2)+(仕訳帳!J:J=$D$2),仕訳帳!C:C*10000+ROW(仕訳帳!C:C)),ROW(A7)),仕訳帳!C:C*10000+ROW(仕訳帳!C:C),0)),""))</f>
        <v/>
      </c>
      <c r="D11" s="66" t="str">
        <f>IF(C11&lt;&gt;"",IF(INDEX(仕訳帳!I:I,MATCH(C11,仕訳帳!B:B,0))=$D$2,"---",INDEX(仕訳帳!I:I,MATCH(C11,仕訳帳!B:B,0))),"")</f>
        <v/>
      </c>
      <c r="E11" s="67" t="str">
        <f>IF(C11&lt;&gt;"",IF(INDEX(仕訳帳!I:I,MATCH(C11,仕訳帳!B:B,0))=$D$2,"-",INDEX(仕訳帳!E:E,MATCH(C11,仕訳帳!B:B,0))),"")</f>
        <v/>
      </c>
      <c r="F11" s="66" t="str">
        <f>IF(C11&lt;&gt;"",IF(INDEX(仕訳帳!J:J,MATCH(C11,仕訳帳!B:B,0))=$D$2,"---",INDEX(仕訳帳!J:J,MATCH(C11,仕訳帳!B:B,0))),"")</f>
        <v/>
      </c>
      <c r="G11" s="67" t="str">
        <f>IF(C11&lt;&gt;"",IF(INDEX(仕訳帳!J:J,MATCH(C11,仕訳帳!B:B,0))=$D$2,"-",INDEX(仕訳帳!H:H,MATCH(C11,仕訳帳!B:B,0))),"")</f>
        <v/>
      </c>
      <c r="H11" s="68" t="str">
        <f t="shared" si="0"/>
        <v/>
      </c>
      <c r="I11" s="68" t="str">
        <f t="shared" si="1"/>
        <v/>
      </c>
      <c r="J11" s="68" t="str">
        <f t="shared" si="2"/>
        <v/>
      </c>
      <c r="K11" s="69" t="str">
        <f>IF(C11&lt;&gt;"",IF(INDEX(仕訳帳!F:F,MATCH(C11,仕訳帳!B:B,0))="","",INDEX(仕訳帳!F:F,MATCH(C11,仕訳帳!B:B,0))),"")</f>
        <v/>
      </c>
      <c r="L11" s="69" t="str">
        <f>IF(C11&lt;&gt;"",IF(INDEX(仕訳帳!K:K,MATCH(C11,仕訳帳!B:B,0))="","",INDEX(仕訳帳!K:K,MATCH(C11,仕訳帳!B:B,0))),"")</f>
        <v/>
      </c>
    </row>
    <row r="12" spans="2:12">
      <c r="B12" s="65" t="str">
        <f>IF(C12&lt;&gt;"",INDEX(仕訳帳!C:C,MATCH(C12,仕訳帳!B:B,0)),"")</f>
        <v/>
      </c>
      <c r="C12" s="66" t="str">
        <f t="array" ref="C12">IF($D$2="","",IFERROR(INDEX(仕訳帳!B:B,MATCH(SMALL(IF((仕訳帳!I:I=$D$2)+(仕訳帳!J:J=$D$2),仕訳帳!C:C*10000+ROW(仕訳帳!C:C)),ROW(A8)),仕訳帳!C:C*10000+ROW(仕訳帳!C:C),0)),""))</f>
        <v/>
      </c>
      <c r="D12" s="66" t="str">
        <f>IF(C12&lt;&gt;"",IF(INDEX(仕訳帳!I:I,MATCH(C12,仕訳帳!B:B,0))=$D$2,"---",INDEX(仕訳帳!I:I,MATCH(C12,仕訳帳!B:B,0))),"")</f>
        <v/>
      </c>
      <c r="E12" s="67" t="str">
        <f>IF(C12&lt;&gt;"",IF(INDEX(仕訳帳!I:I,MATCH(C12,仕訳帳!B:B,0))=$D$2,"-",INDEX(仕訳帳!E:E,MATCH(C12,仕訳帳!B:B,0))),"")</f>
        <v/>
      </c>
      <c r="F12" s="66" t="str">
        <f>IF(C12&lt;&gt;"",IF(INDEX(仕訳帳!J:J,MATCH(C12,仕訳帳!B:B,0))=$D$2,"---",INDEX(仕訳帳!J:J,MATCH(C12,仕訳帳!B:B,0))),"")</f>
        <v/>
      </c>
      <c r="G12" s="67" t="str">
        <f>IF(C12&lt;&gt;"",IF(INDEX(仕訳帳!J:J,MATCH(C12,仕訳帳!B:B,0))=$D$2,"-",INDEX(仕訳帳!H:H,MATCH(C12,仕訳帳!B:B,0))),"")</f>
        <v/>
      </c>
      <c r="H12" s="68" t="str">
        <f t="shared" si="0"/>
        <v/>
      </c>
      <c r="I12" s="68" t="str">
        <f t="shared" si="1"/>
        <v/>
      </c>
      <c r="J12" s="68" t="str">
        <f t="shared" si="2"/>
        <v/>
      </c>
      <c r="K12" s="69" t="str">
        <f>IF(C12&lt;&gt;"",IF(INDEX(仕訳帳!F:F,MATCH(C12,仕訳帳!B:B,0))="","",INDEX(仕訳帳!F:F,MATCH(C12,仕訳帳!B:B,0))),"")</f>
        <v/>
      </c>
      <c r="L12" s="69" t="str">
        <f>IF(C12&lt;&gt;"",IF(INDEX(仕訳帳!K:K,MATCH(C12,仕訳帳!B:B,0))="","",INDEX(仕訳帳!K:K,MATCH(C12,仕訳帳!B:B,0))),"")</f>
        <v/>
      </c>
    </row>
    <row r="13" spans="2:12">
      <c r="B13" s="65" t="str">
        <f>IF(C13&lt;&gt;"",INDEX(仕訳帳!C:C,MATCH(C13,仕訳帳!B:B,0)),"")</f>
        <v/>
      </c>
      <c r="C13" s="66" t="str">
        <f t="array" ref="C13">IF($D$2="","",IFERROR(INDEX(仕訳帳!B:B,MATCH(SMALL(IF((仕訳帳!I:I=$D$2)+(仕訳帳!J:J=$D$2),仕訳帳!C:C*10000+ROW(仕訳帳!C:C)),ROW(A9)),仕訳帳!C:C*10000+ROW(仕訳帳!C:C),0)),""))</f>
        <v/>
      </c>
      <c r="D13" s="66" t="str">
        <f>IF(C13&lt;&gt;"",IF(INDEX(仕訳帳!I:I,MATCH(C13,仕訳帳!B:B,0))=$D$2,"---",INDEX(仕訳帳!I:I,MATCH(C13,仕訳帳!B:B,0))),"")</f>
        <v/>
      </c>
      <c r="E13" s="67" t="str">
        <f>IF(C13&lt;&gt;"",IF(INDEX(仕訳帳!I:I,MATCH(C13,仕訳帳!B:B,0))=$D$2,"-",INDEX(仕訳帳!E:E,MATCH(C13,仕訳帳!B:B,0))),"")</f>
        <v/>
      </c>
      <c r="F13" s="66" t="str">
        <f>IF(C13&lt;&gt;"",IF(INDEX(仕訳帳!J:J,MATCH(C13,仕訳帳!B:B,0))=$D$2,"---",INDEX(仕訳帳!J:J,MATCH(C13,仕訳帳!B:B,0))),"")</f>
        <v/>
      </c>
      <c r="G13" s="67" t="str">
        <f>IF(C13&lt;&gt;"",IF(INDEX(仕訳帳!J:J,MATCH(C13,仕訳帳!B:B,0))=$D$2,"-",INDEX(仕訳帳!H:H,MATCH(C13,仕訳帳!B:B,0))),"")</f>
        <v/>
      </c>
      <c r="H13" s="68" t="str">
        <f t="shared" si="0"/>
        <v/>
      </c>
      <c r="I13" s="68" t="str">
        <f t="shared" si="1"/>
        <v/>
      </c>
      <c r="J13" s="68" t="str">
        <f t="shared" si="2"/>
        <v/>
      </c>
      <c r="K13" s="69" t="str">
        <f>IF(C13&lt;&gt;"",IF(INDEX(仕訳帳!F:F,MATCH(C13,仕訳帳!B:B,0))="","",INDEX(仕訳帳!F:F,MATCH(C13,仕訳帳!B:B,0))),"")</f>
        <v/>
      </c>
      <c r="L13" s="69" t="str">
        <f>IF(C13&lt;&gt;"",IF(INDEX(仕訳帳!K:K,MATCH(C13,仕訳帳!B:B,0))="","",INDEX(仕訳帳!K:K,MATCH(C13,仕訳帳!B:B,0))),"")</f>
        <v/>
      </c>
    </row>
    <row r="14" spans="2:12">
      <c r="B14" s="65" t="str">
        <f>IF(C14&lt;&gt;"",INDEX(仕訳帳!C:C,MATCH(C14,仕訳帳!B:B,0)),"")</f>
        <v/>
      </c>
      <c r="C14" s="66" t="str">
        <f t="array" ref="C14">IF($D$2="","",IFERROR(INDEX(仕訳帳!B:B,MATCH(SMALL(IF((仕訳帳!I:I=$D$2)+(仕訳帳!J:J=$D$2),仕訳帳!C:C*10000+ROW(仕訳帳!C:C)),ROW(A10)),仕訳帳!C:C*10000+ROW(仕訳帳!C:C),0)),""))</f>
        <v/>
      </c>
      <c r="D14" s="66" t="str">
        <f>IF(C14&lt;&gt;"",IF(INDEX(仕訳帳!I:I,MATCH(C14,仕訳帳!B:B,0))=$D$2,"---",INDEX(仕訳帳!I:I,MATCH(C14,仕訳帳!B:B,0))),"")</f>
        <v/>
      </c>
      <c r="E14" s="67" t="str">
        <f>IF(C14&lt;&gt;"",IF(INDEX(仕訳帳!I:I,MATCH(C14,仕訳帳!B:B,0))=$D$2,"-",INDEX(仕訳帳!E:E,MATCH(C14,仕訳帳!B:B,0))),"")</f>
        <v/>
      </c>
      <c r="F14" s="66" t="str">
        <f>IF(C14&lt;&gt;"",IF(INDEX(仕訳帳!J:J,MATCH(C14,仕訳帳!B:B,0))=$D$2,"---",INDEX(仕訳帳!J:J,MATCH(C14,仕訳帳!B:B,0))),"")</f>
        <v/>
      </c>
      <c r="G14" s="67" t="str">
        <f>IF(C14&lt;&gt;"",IF(INDEX(仕訳帳!J:J,MATCH(C14,仕訳帳!B:B,0))=$D$2,"-",INDEX(仕訳帳!H:H,MATCH(C14,仕訳帳!B:B,0))),"")</f>
        <v/>
      </c>
      <c r="H14" s="68" t="str">
        <f t="shared" si="0"/>
        <v/>
      </c>
      <c r="I14" s="68" t="str">
        <f t="shared" si="1"/>
        <v/>
      </c>
      <c r="J14" s="68" t="str">
        <f t="shared" si="2"/>
        <v/>
      </c>
      <c r="K14" s="69" t="str">
        <f>IF(C14&lt;&gt;"",IF(INDEX(仕訳帳!F:F,MATCH(C14,仕訳帳!B:B,0))="","",INDEX(仕訳帳!F:F,MATCH(C14,仕訳帳!B:B,0))),"")</f>
        <v/>
      </c>
      <c r="L14" s="69" t="str">
        <f>IF(C14&lt;&gt;"",IF(INDEX(仕訳帳!K:K,MATCH(C14,仕訳帳!B:B,0))="","",INDEX(仕訳帳!K:K,MATCH(C14,仕訳帳!B:B,0))),"")</f>
        <v/>
      </c>
    </row>
    <row r="15" spans="2:12">
      <c r="B15" s="65" t="str">
        <f>IF(C15&lt;&gt;"",INDEX(仕訳帳!C:C,MATCH(C15,仕訳帳!B:B,0)),"")</f>
        <v/>
      </c>
      <c r="C15" s="66" t="str">
        <f t="array" ref="C15">IF($D$2="","",IFERROR(INDEX(仕訳帳!B:B,MATCH(SMALL(IF((仕訳帳!I:I=$D$2)+(仕訳帳!J:J=$D$2),仕訳帳!C:C*10000+ROW(仕訳帳!C:C)),ROW(A11)),仕訳帳!C:C*10000+ROW(仕訳帳!C:C),0)),""))</f>
        <v/>
      </c>
      <c r="D15" s="66" t="str">
        <f>IF(C15&lt;&gt;"",IF(INDEX(仕訳帳!I:I,MATCH(C15,仕訳帳!B:B,0))=$D$2,"---",INDEX(仕訳帳!I:I,MATCH(C15,仕訳帳!B:B,0))),"")</f>
        <v/>
      </c>
      <c r="E15" s="67" t="str">
        <f>IF(C15&lt;&gt;"",IF(INDEX(仕訳帳!I:I,MATCH(C15,仕訳帳!B:B,0))=$D$2,"-",INDEX(仕訳帳!E:E,MATCH(C15,仕訳帳!B:B,0))),"")</f>
        <v/>
      </c>
      <c r="F15" s="66" t="str">
        <f>IF(C15&lt;&gt;"",IF(INDEX(仕訳帳!J:J,MATCH(C15,仕訳帳!B:B,0))=$D$2,"---",INDEX(仕訳帳!J:J,MATCH(C15,仕訳帳!B:B,0))),"")</f>
        <v/>
      </c>
      <c r="G15" s="67" t="str">
        <f>IF(C15&lt;&gt;"",IF(INDEX(仕訳帳!J:J,MATCH(C15,仕訳帳!B:B,0))=$D$2,"-",INDEX(仕訳帳!H:H,MATCH(C15,仕訳帳!B:B,0))),"")</f>
        <v/>
      </c>
      <c r="H15" s="68" t="str">
        <f t="shared" si="0"/>
        <v/>
      </c>
      <c r="I15" s="68" t="str">
        <f t="shared" si="1"/>
        <v/>
      </c>
      <c r="J15" s="68" t="str">
        <f t="shared" si="2"/>
        <v/>
      </c>
      <c r="K15" s="69" t="str">
        <f>IF(C15&lt;&gt;"",IF(INDEX(仕訳帳!F:F,MATCH(C15,仕訳帳!B:B,0))="","",INDEX(仕訳帳!F:F,MATCH(C15,仕訳帳!B:B,0))),"")</f>
        <v/>
      </c>
      <c r="L15" s="69" t="str">
        <f>IF(C15&lt;&gt;"",IF(INDEX(仕訳帳!K:K,MATCH(C15,仕訳帳!B:B,0))="","",INDEX(仕訳帳!K:K,MATCH(C15,仕訳帳!B:B,0))),"")</f>
        <v/>
      </c>
    </row>
    <row r="16" spans="2:12">
      <c r="B16" s="65" t="str">
        <f>IF(C16&lt;&gt;"",INDEX(仕訳帳!C:C,MATCH(C16,仕訳帳!B:B,0)),"")</f>
        <v/>
      </c>
      <c r="C16" s="66" t="str">
        <f t="array" ref="C16">IF($D$2="","",IFERROR(INDEX(仕訳帳!B:B,MATCH(SMALL(IF((仕訳帳!I:I=$D$2)+(仕訳帳!J:J=$D$2),仕訳帳!C:C*10000+ROW(仕訳帳!C:C)),ROW(A12)),仕訳帳!C:C*10000+ROW(仕訳帳!C:C),0)),""))</f>
        <v/>
      </c>
      <c r="D16" s="66" t="str">
        <f>IF(C16&lt;&gt;"",IF(INDEX(仕訳帳!I:I,MATCH(C16,仕訳帳!B:B,0))=$D$2,"---",INDEX(仕訳帳!I:I,MATCH(C16,仕訳帳!B:B,0))),"")</f>
        <v/>
      </c>
      <c r="E16" s="67" t="str">
        <f>IF(C16&lt;&gt;"",IF(INDEX(仕訳帳!I:I,MATCH(C16,仕訳帳!B:B,0))=$D$2,"-",INDEX(仕訳帳!E:E,MATCH(C16,仕訳帳!B:B,0))),"")</f>
        <v/>
      </c>
      <c r="F16" s="66" t="str">
        <f>IF(C16&lt;&gt;"",IF(INDEX(仕訳帳!J:J,MATCH(C16,仕訳帳!B:B,0))=$D$2,"---",INDEX(仕訳帳!J:J,MATCH(C16,仕訳帳!B:B,0))),"")</f>
        <v/>
      </c>
      <c r="G16" s="67" t="str">
        <f>IF(C16&lt;&gt;"",IF(INDEX(仕訳帳!J:J,MATCH(C16,仕訳帳!B:B,0))=$D$2,"-",INDEX(仕訳帳!H:H,MATCH(C16,仕訳帳!B:B,0))),"")</f>
        <v/>
      </c>
      <c r="H16" s="68" t="str">
        <f t="shared" si="0"/>
        <v/>
      </c>
      <c r="I16" s="68" t="str">
        <f t="shared" si="1"/>
        <v/>
      </c>
      <c r="J16" s="68" t="str">
        <f t="shared" si="2"/>
        <v/>
      </c>
      <c r="K16" s="69" t="str">
        <f>IF(C16&lt;&gt;"",IF(INDEX(仕訳帳!F:F,MATCH(C16,仕訳帳!B:B,0))="","",INDEX(仕訳帳!F:F,MATCH(C16,仕訳帳!B:B,0))),"")</f>
        <v/>
      </c>
      <c r="L16" s="69" t="str">
        <f>IF(C16&lt;&gt;"",IF(INDEX(仕訳帳!K:K,MATCH(C16,仕訳帳!B:B,0))="","",INDEX(仕訳帳!K:K,MATCH(C16,仕訳帳!B:B,0))),"")</f>
        <v/>
      </c>
    </row>
    <row r="17" spans="2:12">
      <c r="B17" s="65" t="str">
        <f>IF(C17&lt;&gt;"",INDEX(仕訳帳!C:C,MATCH(C17,仕訳帳!B:B,0)),"")</f>
        <v/>
      </c>
      <c r="C17" s="66" t="str">
        <f t="array" ref="C17">IF($D$2="","",IFERROR(INDEX(仕訳帳!B:B,MATCH(SMALL(IF((仕訳帳!I:I=$D$2)+(仕訳帳!J:J=$D$2),仕訳帳!C:C*10000+ROW(仕訳帳!C:C)),ROW(A13)),仕訳帳!C:C*10000+ROW(仕訳帳!C:C),0)),""))</f>
        <v/>
      </c>
      <c r="D17" s="66" t="str">
        <f>IF(C17&lt;&gt;"",IF(INDEX(仕訳帳!I:I,MATCH(C17,仕訳帳!B:B,0))=$D$2,"---",INDEX(仕訳帳!I:I,MATCH(C17,仕訳帳!B:B,0))),"")</f>
        <v/>
      </c>
      <c r="E17" s="67" t="str">
        <f>IF(C17&lt;&gt;"",IF(INDEX(仕訳帳!I:I,MATCH(C17,仕訳帳!B:B,0))=$D$2,"-",INDEX(仕訳帳!E:E,MATCH(C17,仕訳帳!B:B,0))),"")</f>
        <v/>
      </c>
      <c r="F17" s="66" t="str">
        <f>IF(C17&lt;&gt;"",IF(INDEX(仕訳帳!J:J,MATCH(C17,仕訳帳!B:B,0))=$D$2,"---",INDEX(仕訳帳!J:J,MATCH(C17,仕訳帳!B:B,0))),"")</f>
        <v/>
      </c>
      <c r="G17" s="67" t="str">
        <f>IF(C17&lt;&gt;"",IF(INDEX(仕訳帳!J:J,MATCH(C17,仕訳帳!B:B,0))=$D$2,"-",INDEX(仕訳帳!H:H,MATCH(C17,仕訳帳!B:B,0))),"")</f>
        <v/>
      </c>
      <c r="H17" s="68" t="str">
        <f t="shared" si="0"/>
        <v/>
      </c>
      <c r="I17" s="68" t="str">
        <f t="shared" si="1"/>
        <v/>
      </c>
      <c r="J17" s="68" t="str">
        <f t="shared" si="2"/>
        <v/>
      </c>
      <c r="K17" s="69" t="str">
        <f>IF(C17&lt;&gt;"",IF(INDEX(仕訳帳!F:F,MATCH(C17,仕訳帳!B:B,0))="","",INDEX(仕訳帳!F:F,MATCH(C17,仕訳帳!B:B,0))),"")</f>
        <v/>
      </c>
      <c r="L17" s="69" t="str">
        <f>IF(C17&lt;&gt;"",IF(INDEX(仕訳帳!K:K,MATCH(C17,仕訳帳!B:B,0))="","",INDEX(仕訳帳!K:K,MATCH(C17,仕訳帳!B:B,0))),"")</f>
        <v/>
      </c>
    </row>
    <row r="18" spans="2:12">
      <c r="B18" s="65" t="str">
        <f>IF(C18&lt;&gt;"",INDEX(仕訳帳!C:C,MATCH(C18,仕訳帳!B:B,0)),"")</f>
        <v/>
      </c>
      <c r="C18" s="66" t="str">
        <f t="array" ref="C18">IF($D$2="","",IFERROR(INDEX(仕訳帳!B:B,MATCH(SMALL(IF((仕訳帳!I:I=$D$2)+(仕訳帳!J:J=$D$2),仕訳帳!C:C*10000+ROW(仕訳帳!C:C)),ROW(A14)),仕訳帳!C:C*10000+ROW(仕訳帳!C:C),0)),""))</f>
        <v/>
      </c>
      <c r="D18" s="66" t="str">
        <f>IF(C18&lt;&gt;"",IF(INDEX(仕訳帳!I:I,MATCH(C18,仕訳帳!B:B,0))=$D$2,"---",INDEX(仕訳帳!I:I,MATCH(C18,仕訳帳!B:B,0))),"")</f>
        <v/>
      </c>
      <c r="E18" s="67" t="str">
        <f>IF(C18&lt;&gt;"",IF(INDEX(仕訳帳!I:I,MATCH(C18,仕訳帳!B:B,0))=$D$2,"-",INDEX(仕訳帳!E:E,MATCH(C18,仕訳帳!B:B,0))),"")</f>
        <v/>
      </c>
      <c r="F18" s="66" t="str">
        <f>IF(C18&lt;&gt;"",IF(INDEX(仕訳帳!J:J,MATCH(C18,仕訳帳!B:B,0))=$D$2,"---",INDEX(仕訳帳!J:J,MATCH(C18,仕訳帳!B:B,0))),"")</f>
        <v/>
      </c>
      <c r="G18" s="67" t="str">
        <f>IF(C18&lt;&gt;"",IF(INDEX(仕訳帳!J:J,MATCH(C18,仕訳帳!B:B,0))=$D$2,"-",INDEX(仕訳帳!H:H,MATCH(C18,仕訳帳!B:B,0))),"")</f>
        <v/>
      </c>
      <c r="H18" s="68" t="str">
        <f t="shared" si="0"/>
        <v/>
      </c>
      <c r="I18" s="68" t="str">
        <f t="shared" si="1"/>
        <v/>
      </c>
      <c r="J18" s="68" t="str">
        <f t="shared" si="2"/>
        <v/>
      </c>
      <c r="K18" s="69" t="str">
        <f>IF(C18&lt;&gt;"",IF(INDEX(仕訳帳!F:F,MATCH(C18,仕訳帳!B:B,0))="","",INDEX(仕訳帳!F:F,MATCH(C18,仕訳帳!B:B,0))),"")</f>
        <v/>
      </c>
      <c r="L18" s="69" t="str">
        <f>IF(C18&lt;&gt;"",IF(INDEX(仕訳帳!K:K,MATCH(C18,仕訳帳!B:B,0))="","",INDEX(仕訳帳!K:K,MATCH(C18,仕訳帳!B:B,0))),"")</f>
        <v/>
      </c>
    </row>
    <row r="19" spans="2:12">
      <c r="B19" s="65" t="str">
        <f>IF(C19&lt;&gt;"",INDEX(仕訳帳!C:C,MATCH(C19,仕訳帳!B:B,0)),"")</f>
        <v/>
      </c>
      <c r="C19" s="66" t="str">
        <f t="array" ref="C19">IF($D$2="","",IFERROR(INDEX(仕訳帳!B:B,MATCH(SMALL(IF((仕訳帳!I:I=$D$2)+(仕訳帳!J:J=$D$2),仕訳帳!C:C*10000+ROW(仕訳帳!C:C)),ROW(A15)),仕訳帳!C:C*10000+ROW(仕訳帳!C:C),0)),""))</f>
        <v/>
      </c>
      <c r="D19" s="66" t="str">
        <f>IF(C19&lt;&gt;"",IF(INDEX(仕訳帳!I:I,MATCH(C19,仕訳帳!B:B,0))=$D$2,"---",INDEX(仕訳帳!I:I,MATCH(C19,仕訳帳!B:B,0))),"")</f>
        <v/>
      </c>
      <c r="E19" s="67" t="str">
        <f>IF(C19&lt;&gt;"",IF(INDEX(仕訳帳!I:I,MATCH(C19,仕訳帳!B:B,0))=$D$2,"-",INDEX(仕訳帳!E:E,MATCH(C19,仕訳帳!B:B,0))),"")</f>
        <v/>
      </c>
      <c r="F19" s="66" t="str">
        <f>IF(C19&lt;&gt;"",IF(INDEX(仕訳帳!J:J,MATCH(C19,仕訳帳!B:B,0))=$D$2,"---",INDEX(仕訳帳!J:J,MATCH(C19,仕訳帳!B:B,0))),"")</f>
        <v/>
      </c>
      <c r="G19" s="67" t="str">
        <f>IF(C19&lt;&gt;"",IF(INDEX(仕訳帳!J:J,MATCH(C19,仕訳帳!B:B,0))=$D$2,"-",INDEX(仕訳帳!H:H,MATCH(C19,仕訳帳!B:B,0))),"")</f>
        <v/>
      </c>
      <c r="H19" s="68" t="str">
        <f t="shared" si="0"/>
        <v/>
      </c>
      <c r="I19" s="68" t="str">
        <f t="shared" si="1"/>
        <v/>
      </c>
      <c r="J19" s="68" t="str">
        <f t="shared" si="2"/>
        <v/>
      </c>
      <c r="K19" s="69" t="str">
        <f>IF(C19&lt;&gt;"",IF(INDEX(仕訳帳!F:F,MATCH(C19,仕訳帳!B:B,0))="","",INDEX(仕訳帳!F:F,MATCH(C19,仕訳帳!B:B,0))),"")</f>
        <v/>
      </c>
      <c r="L19" s="69" t="str">
        <f>IF(C19&lt;&gt;"",IF(INDEX(仕訳帳!K:K,MATCH(C19,仕訳帳!B:B,0))="","",INDEX(仕訳帳!K:K,MATCH(C19,仕訳帳!B:B,0))),"")</f>
        <v/>
      </c>
    </row>
    <row r="20" spans="2:12">
      <c r="B20" s="65" t="str">
        <f>IF(C20&lt;&gt;"",INDEX(仕訳帳!C:C,MATCH(C20,仕訳帳!B:B,0)),"")</f>
        <v/>
      </c>
      <c r="C20" s="66" t="str">
        <f t="array" ref="C20">IF($D$2="","",IFERROR(INDEX(仕訳帳!B:B,MATCH(SMALL(IF((仕訳帳!I:I=$D$2)+(仕訳帳!J:J=$D$2),仕訳帳!C:C*10000+ROW(仕訳帳!C:C)),ROW(A16)),仕訳帳!C:C*10000+ROW(仕訳帳!C:C),0)),""))</f>
        <v/>
      </c>
      <c r="D20" s="66" t="str">
        <f>IF(C20&lt;&gt;"",IF(INDEX(仕訳帳!I:I,MATCH(C20,仕訳帳!B:B,0))=$D$2,"---",INDEX(仕訳帳!I:I,MATCH(C20,仕訳帳!B:B,0))),"")</f>
        <v/>
      </c>
      <c r="E20" s="67" t="str">
        <f>IF(C20&lt;&gt;"",IF(INDEX(仕訳帳!I:I,MATCH(C20,仕訳帳!B:B,0))=$D$2,"-",INDEX(仕訳帳!E:E,MATCH(C20,仕訳帳!B:B,0))),"")</f>
        <v/>
      </c>
      <c r="F20" s="66" t="str">
        <f>IF(C20&lt;&gt;"",IF(INDEX(仕訳帳!J:J,MATCH(C20,仕訳帳!B:B,0))=$D$2,"---",INDEX(仕訳帳!J:J,MATCH(C20,仕訳帳!B:B,0))),"")</f>
        <v/>
      </c>
      <c r="G20" s="67" t="str">
        <f>IF(C20&lt;&gt;"",IF(INDEX(仕訳帳!J:J,MATCH(C20,仕訳帳!B:B,0))=$D$2,"-",INDEX(仕訳帳!H:H,MATCH(C20,仕訳帳!B:B,0))),"")</f>
        <v/>
      </c>
      <c r="H20" s="68" t="str">
        <f t="shared" ref="H20:H30" si="3">IF(B20="","",SUM(H19,IF(E20="-",0,-E20)+IF(G20="-",0,G20)))</f>
        <v/>
      </c>
      <c r="I20" s="68" t="str">
        <f t="shared" ref="I20:I30" si="4">IF(C20="","",IF(ROW()=5,0,I19)+IF(E20="-",0,IF(E20="",0,E20)))</f>
        <v/>
      </c>
      <c r="J20" s="68" t="str">
        <f t="shared" ref="J20:J30" si="5">IF(C20="","",IF(ROW()=5,0,J19)+IF(G20="-",0,IF(G20="",0,G20)))</f>
        <v/>
      </c>
      <c r="K20" s="69" t="str">
        <f>IF(C20&lt;&gt;"",IF(INDEX(仕訳帳!F:F,MATCH(C20,仕訳帳!B:B,0))="","",INDEX(仕訳帳!F:F,MATCH(C20,仕訳帳!B:B,0))),"")</f>
        <v/>
      </c>
      <c r="L20" s="69" t="str">
        <f>IF(C20&lt;&gt;"",IF(INDEX(仕訳帳!K:K,MATCH(C20,仕訳帳!B:B,0))="","",INDEX(仕訳帳!K:K,MATCH(C20,仕訳帳!B:B,0))),"")</f>
        <v/>
      </c>
    </row>
    <row r="21" spans="2:12">
      <c r="B21" s="65" t="str">
        <f>IF(C21&lt;&gt;"",INDEX(仕訳帳!C:C,MATCH(C21,仕訳帳!B:B,0)),"")</f>
        <v/>
      </c>
      <c r="C21" s="66" t="str">
        <f t="array" ref="C21">IF($D$2="","",IFERROR(INDEX(仕訳帳!B:B,MATCH(SMALL(IF((仕訳帳!I:I=$D$2)+(仕訳帳!J:J=$D$2),仕訳帳!C:C*10000+ROW(仕訳帳!C:C)),ROW(A17)),仕訳帳!C:C*10000+ROW(仕訳帳!C:C),0)),""))</f>
        <v/>
      </c>
      <c r="D21" s="66" t="str">
        <f>IF(C21&lt;&gt;"",IF(INDEX(仕訳帳!I:I,MATCH(C21,仕訳帳!B:B,0))=$D$2,"---",INDEX(仕訳帳!I:I,MATCH(C21,仕訳帳!B:B,0))),"")</f>
        <v/>
      </c>
      <c r="E21" s="67" t="str">
        <f>IF(C21&lt;&gt;"",IF(INDEX(仕訳帳!I:I,MATCH(C21,仕訳帳!B:B,0))=$D$2,"-",INDEX(仕訳帳!E:E,MATCH(C21,仕訳帳!B:B,0))),"")</f>
        <v/>
      </c>
      <c r="F21" s="66" t="str">
        <f>IF(C21&lt;&gt;"",IF(INDEX(仕訳帳!J:J,MATCH(C21,仕訳帳!B:B,0))=$D$2,"---",INDEX(仕訳帳!J:J,MATCH(C21,仕訳帳!B:B,0))),"")</f>
        <v/>
      </c>
      <c r="G21" s="67" t="str">
        <f>IF(C21&lt;&gt;"",IF(INDEX(仕訳帳!J:J,MATCH(C21,仕訳帳!B:B,0))=$D$2,"-",INDEX(仕訳帳!H:H,MATCH(C21,仕訳帳!B:B,0))),"")</f>
        <v/>
      </c>
      <c r="H21" s="68" t="str">
        <f t="shared" si="3"/>
        <v/>
      </c>
      <c r="I21" s="68" t="str">
        <f t="shared" si="4"/>
        <v/>
      </c>
      <c r="J21" s="68" t="str">
        <f t="shared" si="5"/>
        <v/>
      </c>
      <c r="K21" s="69" t="str">
        <f>IF(C21&lt;&gt;"",IF(INDEX(仕訳帳!F:F,MATCH(C21,仕訳帳!B:B,0))="","",INDEX(仕訳帳!F:F,MATCH(C21,仕訳帳!B:B,0))),"")</f>
        <v/>
      </c>
      <c r="L21" s="69" t="str">
        <f>IF(C21&lt;&gt;"",IF(INDEX(仕訳帳!K:K,MATCH(C21,仕訳帳!B:B,0))="","",INDEX(仕訳帳!K:K,MATCH(C21,仕訳帳!B:B,0))),"")</f>
        <v/>
      </c>
    </row>
    <row r="22" spans="2:12">
      <c r="B22" s="65" t="str">
        <f>IF(C22&lt;&gt;"",INDEX(仕訳帳!C:C,MATCH(C22,仕訳帳!B:B,0)),"")</f>
        <v/>
      </c>
      <c r="C22" s="66" t="str">
        <f t="array" ref="C22">IF($D$2="","",IFERROR(INDEX(仕訳帳!B:B,MATCH(SMALL(IF((仕訳帳!I:I=$D$2)+(仕訳帳!J:J=$D$2),仕訳帳!C:C*10000+ROW(仕訳帳!C:C)),ROW(A18)),仕訳帳!C:C*10000+ROW(仕訳帳!C:C),0)),""))</f>
        <v/>
      </c>
      <c r="D22" s="66" t="str">
        <f>IF(C22&lt;&gt;"",IF(INDEX(仕訳帳!I:I,MATCH(C22,仕訳帳!B:B,0))=$D$2,"---",INDEX(仕訳帳!I:I,MATCH(C22,仕訳帳!B:B,0))),"")</f>
        <v/>
      </c>
      <c r="E22" s="67" t="str">
        <f>IF(C22&lt;&gt;"",IF(INDEX(仕訳帳!I:I,MATCH(C22,仕訳帳!B:B,0))=$D$2,"-",INDEX(仕訳帳!E:E,MATCH(C22,仕訳帳!B:B,0))),"")</f>
        <v/>
      </c>
      <c r="F22" s="66" t="str">
        <f>IF(C22&lt;&gt;"",IF(INDEX(仕訳帳!J:J,MATCH(C22,仕訳帳!B:B,0))=$D$2,"---",INDEX(仕訳帳!J:J,MATCH(C22,仕訳帳!B:B,0))),"")</f>
        <v/>
      </c>
      <c r="G22" s="67" t="str">
        <f>IF(C22&lt;&gt;"",IF(INDEX(仕訳帳!J:J,MATCH(C22,仕訳帳!B:B,0))=$D$2,"-",INDEX(仕訳帳!H:H,MATCH(C22,仕訳帳!B:B,0))),"")</f>
        <v/>
      </c>
      <c r="H22" s="68" t="str">
        <f t="shared" si="3"/>
        <v/>
      </c>
      <c r="I22" s="68" t="str">
        <f t="shared" si="4"/>
        <v/>
      </c>
      <c r="J22" s="68" t="str">
        <f t="shared" si="5"/>
        <v/>
      </c>
      <c r="K22" s="69" t="str">
        <f>IF(C22&lt;&gt;"",IF(INDEX(仕訳帳!F:F,MATCH(C22,仕訳帳!B:B,0))="","",INDEX(仕訳帳!F:F,MATCH(C22,仕訳帳!B:B,0))),"")</f>
        <v/>
      </c>
      <c r="L22" s="69" t="str">
        <f>IF(C22&lt;&gt;"",IF(INDEX(仕訳帳!K:K,MATCH(C22,仕訳帳!B:B,0))="","",INDEX(仕訳帳!K:K,MATCH(C22,仕訳帳!B:B,0))),"")</f>
        <v/>
      </c>
    </row>
    <row r="23" spans="2:12">
      <c r="B23" s="65" t="str">
        <f>IF(C23&lt;&gt;"",INDEX(仕訳帳!C:C,MATCH(C23,仕訳帳!B:B,0)),"")</f>
        <v/>
      </c>
      <c r="C23" s="66" t="str">
        <f t="array" ref="C23">IF($D$2="","",IFERROR(INDEX(仕訳帳!B:B,MATCH(SMALL(IF((仕訳帳!I:I=$D$2)+(仕訳帳!J:J=$D$2),仕訳帳!C:C*10000+ROW(仕訳帳!C:C)),ROW(A19)),仕訳帳!C:C*10000+ROW(仕訳帳!C:C),0)),""))</f>
        <v/>
      </c>
      <c r="D23" s="66" t="str">
        <f>IF(C23&lt;&gt;"",IF(INDEX(仕訳帳!I:I,MATCH(C23,仕訳帳!B:B,0))=$D$2,"---",INDEX(仕訳帳!I:I,MATCH(C23,仕訳帳!B:B,0))),"")</f>
        <v/>
      </c>
      <c r="E23" s="67" t="str">
        <f>IF(C23&lt;&gt;"",IF(INDEX(仕訳帳!I:I,MATCH(C23,仕訳帳!B:B,0))=$D$2,"-",INDEX(仕訳帳!E:E,MATCH(C23,仕訳帳!B:B,0))),"")</f>
        <v/>
      </c>
      <c r="F23" s="66" t="str">
        <f>IF(C23&lt;&gt;"",IF(INDEX(仕訳帳!J:J,MATCH(C23,仕訳帳!B:B,0))=$D$2,"---",INDEX(仕訳帳!J:J,MATCH(C23,仕訳帳!B:B,0))),"")</f>
        <v/>
      </c>
      <c r="G23" s="67" t="str">
        <f>IF(C23&lt;&gt;"",IF(INDEX(仕訳帳!J:J,MATCH(C23,仕訳帳!B:B,0))=$D$2,"-",INDEX(仕訳帳!H:H,MATCH(C23,仕訳帳!B:B,0))),"")</f>
        <v/>
      </c>
      <c r="H23" s="68" t="str">
        <f t="shared" si="3"/>
        <v/>
      </c>
      <c r="I23" s="68" t="str">
        <f t="shared" si="4"/>
        <v/>
      </c>
      <c r="J23" s="68" t="str">
        <f t="shared" si="5"/>
        <v/>
      </c>
      <c r="K23" s="69" t="str">
        <f>IF(C23&lt;&gt;"",IF(INDEX(仕訳帳!F:F,MATCH(C23,仕訳帳!B:B,0))="","",INDEX(仕訳帳!F:F,MATCH(C23,仕訳帳!B:B,0))),"")</f>
        <v/>
      </c>
      <c r="L23" s="69" t="str">
        <f>IF(C23&lt;&gt;"",IF(INDEX(仕訳帳!K:K,MATCH(C23,仕訳帳!B:B,0))="","",INDEX(仕訳帳!K:K,MATCH(C23,仕訳帳!B:B,0))),"")</f>
        <v/>
      </c>
    </row>
    <row r="24" spans="2:12">
      <c r="B24" s="65" t="str">
        <f>IF(C24&lt;&gt;"",INDEX(仕訳帳!C:C,MATCH(C24,仕訳帳!B:B,0)),"")</f>
        <v/>
      </c>
      <c r="C24" s="66" t="str">
        <f t="array" ref="C24">IF($D$2="","",IFERROR(INDEX(仕訳帳!B:B,MATCH(SMALL(IF((仕訳帳!I:I=$D$2)+(仕訳帳!J:J=$D$2),仕訳帳!C:C*10000+ROW(仕訳帳!C:C)),ROW(A20)),仕訳帳!C:C*10000+ROW(仕訳帳!C:C),0)),""))</f>
        <v/>
      </c>
      <c r="D24" s="66" t="str">
        <f>IF(C24&lt;&gt;"",IF(INDEX(仕訳帳!I:I,MATCH(C24,仕訳帳!B:B,0))=$D$2,"---",INDEX(仕訳帳!I:I,MATCH(C24,仕訳帳!B:B,0))),"")</f>
        <v/>
      </c>
      <c r="E24" s="67" t="str">
        <f>IF(C24&lt;&gt;"",IF(INDEX(仕訳帳!I:I,MATCH(C24,仕訳帳!B:B,0))=$D$2,"-",INDEX(仕訳帳!E:E,MATCH(C24,仕訳帳!B:B,0))),"")</f>
        <v/>
      </c>
      <c r="F24" s="66" t="str">
        <f>IF(C24&lt;&gt;"",IF(INDEX(仕訳帳!J:J,MATCH(C24,仕訳帳!B:B,0))=$D$2,"---",INDEX(仕訳帳!J:J,MATCH(C24,仕訳帳!B:B,0))),"")</f>
        <v/>
      </c>
      <c r="G24" s="67" t="str">
        <f>IF(C24&lt;&gt;"",IF(INDEX(仕訳帳!J:J,MATCH(C24,仕訳帳!B:B,0))=$D$2,"-",INDEX(仕訳帳!H:H,MATCH(C24,仕訳帳!B:B,0))),"")</f>
        <v/>
      </c>
      <c r="H24" s="68" t="str">
        <f t="shared" si="3"/>
        <v/>
      </c>
      <c r="I24" s="68" t="str">
        <f t="shared" si="4"/>
        <v/>
      </c>
      <c r="J24" s="68" t="str">
        <f t="shared" si="5"/>
        <v/>
      </c>
      <c r="K24" s="69" t="str">
        <f>IF(C24&lt;&gt;"",IF(INDEX(仕訳帳!F:F,MATCH(C24,仕訳帳!B:B,0))="","",INDEX(仕訳帳!F:F,MATCH(C24,仕訳帳!B:B,0))),"")</f>
        <v/>
      </c>
      <c r="L24" s="69" t="str">
        <f>IF(C24&lt;&gt;"",IF(INDEX(仕訳帳!K:K,MATCH(C24,仕訳帳!B:B,0))="","",INDEX(仕訳帳!K:K,MATCH(C24,仕訳帳!B:B,0))),"")</f>
        <v/>
      </c>
    </row>
    <row r="25" spans="2:12">
      <c r="B25" s="65" t="str">
        <f>IF(C25&lt;&gt;"",INDEX(仕訳帳!C:C,MATCH(C25,仕訳帳!B:B,0)),"")</f>
        <v/>
      </c>
      <c r="C25" s="66" t="str">
        <f t="array" ref="C25">IF($D$2="","",IFERROR(INDEX(仕訳帳!B:B,MATCH(SMALL(IF((仕訳帳!I:I=$D$2)+(仕訳帳!J:J=$D$2),仕訳帳!C:C*10000+ROW(仕訳帳!C:C)),ROW(A21)),仕訳帳!C:C*10000+ROW(仕訳帳!C:C),0)),""))</f>
        <v/>
      </c>
      <c r="D25" s="66" t="str">
        <f>IF(C25&lt;&gt;"",IF(INDEX(仕訳帳!I:I,MATCH(C25,仕訳帳!B:B,0))=$D$2,"---",INDEX(仕訳帳!I:I,MATCH(C25,仕訳帳!B:B,0))),"")</f>
        <v/>
      </c>
      <c r="E25" s="67" t="str">
        <f>IF(C25&lt;&gt;"",IF(INDEX(仕訳帳!I:I,MATCH(C25,仕訳帳!B:B,0))=$D$2,"-",INDEX(仕訳帳!E:E,MATCH(C25,仕訳帳!B:B,0))),"")</f>
        <v/>
      </c>
      <c r="F25" s="66" t="str">
        <f>IF(C25&lt;&gt;"",IF(INDEX(仕訳帳!J:J,MATCH(C25,仕訳帳!B:B,0))=$D$2,"---",INDEX(仕訳帳!J:J,MATCH(C25,仕訳帳!B:B,0))),"")</f>
        <v/>
      </c>
      <c r="G25" s="67" t="str">
        <f>IF(C25&lt;&gt;"",IF(INDEX(仕訳帳!J:J,MATCH(C25,仕訳帳!B:B,0))=$D$2,"-",INDEX(仕訳帳!H:H,MATCH(C25,仕訳帳!B:B,0))),"")</f>
        <v/>
      </c>
      <c r="H25" s="68" t="str">
        <f t="shared" si="3"/>
        <v/>
      </c>
      <c r="I25" s="68" t="str">
        <f t="shared" si="4"/>
        <v/>
      </c>
      <c r="J25" s="68" t="str">
        <f t="shared" si="5"/>
        <v/>
      </c>
      <c r="K25" s="69" t="str">
        <f>IF(C25&lt;&gt;"",IF(INDEX(仕訳帳!F:F,MATCH(C25,仕訳帳!B:B,0))="","",INDEX(仕訳帳!F:F,MATCH(C25,仕訳帳!B:B,0))),"")</f>
        <v/>
      </c>
      <c r="L25" s="69" t="str">
        <f>IF(C25&lt;&gt;"",IF(INDEX(仕訳帳!K:K,MATCH(C25,仕訳帳!B:B,0))="","",INDEX(仕訳帳!K:K,MATCH(C25,仕訳帳!B:B,0))),"")</f>
        <v/>
      </c>
    </row>
    <row r="26" spans="2:12">
      <c r="B26" s="65" t="str">
        <f>IF(C26&lt;&gt;"",INDEX(仕訳帳!C:C,MATCH(C26,仕訳帳!B:B,0)),"")</f>
        <v/>
      </c>
      <c r="C26" s="66" t="str">
        <f t="array" ref="C26">IF($D$2="","",IFERROR(INDEX(仕訳帳!B:B,MATCH(SMALL(IF((仕訳帳!I:I=$D$2)+(仕訳帳!J:J=$D$2),仕訳帳!C:C*10000+ROW(仕訳帳!C:C)),ROW(A22)),仕訳帳!C:C*10000+ROW(仕訳帳!C:C),0)),""))</f>
        <v/>
      </c>
      <c r="D26" s="66" t="str">
        <f>IF(C26&lt;&gt;"",IF(INDEX(仕訳帳!I:I,MATCH(C26,仕訳帳!B:B,0))=$D$2,"---",INDEX(仕訳帳!I:I,MATCH(C26,仕訳帳!B:B,0))),"")</f>
        <v/>
      </c>
      <c r="E26" s="67" t="str">
        <f>IF(C26&lt;&gt;"",IF(INDEX(仕訳帳!I:I,MATCH(C26,仕訳帳!B:B,0))=$D$2,"-",INDEX(仕訳帳!E:E,MATCH(C26,仕訳帳!B:B,0))),"")</f>
        <v/>
      </c>
      <c r="F26" s="66" t="str">
        <f>IF(C26&lt;&gt;"",IF(INDEX(仕訳帳!J:J,MATCH(C26,仕訳帳!B:B,0))=$D$2,"---",INDEX(仕訳帳!J:J,MATCH(C26,仕訳帳!B:B,0))),"")</f>
        <v/>
      </c>
      <c r="G26" s="67" t="str">
        <f>IF(C26&lt;&gt;"",IF(INDEX(仕訳帳!J:J,MATCH(C26,仕訳帳!B:B,0))=$D$2,"-",INDEX(仕訳帳!H:H,MATCH(C26,仕訳帳!B:B,0))),"")</f>
        <v/>
      </c>
      <c r="H26" s="68" t="str">
        <f t="shared" si="3"/>
        <v/>
      </c>
      <c r="I26" s="68" t="str">
        <f t="shared" si="4"/>
        <v/>
      </c>
      <c r="J26" s="68" t="str">
        <f t="shared" si="5"/>
        <v/>
      </c>
      <c r="K26" s="69" t="str">
        <f>IF(C26&lt;&gt;"",IF(INDEX(仕訳帳!F:F,MATCH(C26,仕訳帳!B:B,0))="","",INDEX(仕訳帳!F:F,MATCH(C26,仕訳帳!B:B,0))),"")</f>
        <v/>
      </c>
      <c r="L26" s="69" t="str">
        <f>IF(C26&lt;&gt;"",IF(INDEX(仕訳帳!K:K,MATCH(C26,仕訳帳!B:B,0))="","",INDEX(仕訳帳!K:K,MATCH(C26,仕訳帳!B:B,0))),"")</f>
        <v/>
      </c>
    </row>
    <row r="27" spans="2:12">
      <c r="B27" s="65" t="str">
        <f>IF(C27&lt;&gt;"",INDEX(仕訳帳!C:C,MATCH(C27,仕訳帳!B:B,0)),"")</f>
        <v/>
      </c>
      <c r="C27" s="66" t="str">
        <f t="array" ref="C27">IF($D$2="","",IFERROR(INDEX(仕訳帳!B:B,MATCH(SMALL(IF((仕訳帳!I:I=$D$2)+(仕訳帳!J:J=$D$2),仕訳帳!C:C*10000+ROW(仕訳帳!C:C)),ROW(A23)),仕訳帳!C:C*10000+ROW(仕訳帳!C:C),0)),""))</f>
        <v/>
      </c>
      <c r="D27" s="66" t="str">
        <f>IF(C27&lt;&gt;"",IF(INDEX(仕訳帳!I:I,MATCH(C27,仕訳帳!B:B,0))=$D$2,"---",INDEX(仕訳帳!I:I,MATCH(C27,仕訳帳!B:B,0))),"")</f>
        <v/>
      </c>
      <c r="E27" s="67" t="str">
        <f>IF(C27&lt;&gt;"",IF(INDEX(仕訳帳!I:I,MATCH(C27,仕訳帳!B:B,0))=$D$2,"-",INDEX(仕訳帳!E:E,MATCH(C27,仕訳帳!B:B,0))),"")</f>
        <v/>
      </c>
      <c r="F27" s="66" t="str">
        <f>IF(C27&lt;&gt;"",IF(INDEX(仕訳帳!J:J,MATCH(C27,仕訳帳!B:B,0))=$D$2,"---",INDEX(仕訳帳!J:J,MATCH(C27,仕訳帳!B:B,0))),"")</f>
        <v/>
      </c>
      <c r="G27" s="67" t="str">
        <f>IF(C27&lt;&gt;"",IF(INDEX(仕訳帳!J:J,MATCH(C27,仕訳帳!B:B,0))=$D$2,"-",INDEX(仕訳帳!H:H,MATCH(C27,仕訳帳!B:B,0))),"")</f>
        <v/>
      </c>
      <c r="H27" s="68" t="str">
        <f t="shared" si="3"/>
        <v/>
      </c>
      <c r="I27" s="68" t="str">
        <f t="shared" si="4"/>
        <v/>
      </c>
      <c r="J27" s="68" t="str">
        <f t="shared" si="5"/>
        <v/>
      </c>
      <c r="K27" s="69" t="str">
        <f>IF(C27&lt;&gt;"",IF(INDEX(仕訳帳!F:F,MATCH(C27,仕訳帳!B:B,0))="","",INDEX(仕訳帳!F:F,MATCH(C27,仕訳帳!B:B,0))),"")</f>
        <v/>
      </c>
      <c r="L27" s="69" t="str">
        <f>IF(C27&lt;&gt;"",IF(INDEX(仕訳帳!K:K,MATCH(C27,仕訳帳!B:B,0))="","",INDEX(仕訳帳!K:K,MATCH(C27,仕訳帳!B:B,0))),"")</f>
        <v/>
      </c>
    </row>
    <row r="28" spans="2:12">
      <c r="B28" s="65" t="str">
        <f>IF(C28&lt;&gt;"",INDEX(仕訳帳!C:C,MATCH(C28,仕訳帳!B:B,0)),"")</f>
        <v/>
      </c>
      <c r="C28" s="66" t="str">
        <f t="array" ref="C28">IF($D$2="","",IFERROR(INDEX(仕訳帳!B:B,MATCH(SMALL(IF((仕訳帳!I:I=$D$2)+(仕訳帳!J:J=$D$2),仕訳帳!C:C*10000+ROW(仕訳帳!C:C)),ROW(A24)),仕訳帳!C:C*10000+ROW(仕訳帳!C:C),0)),""))</f>
        <v/>
      </c>
      <c r="D28" s="66" t="str">
        <f>IF(C28&lt;&gt;"",IF(INDEX(仕訳帳!I:I,MATCH(C28,仕訳帳!B:B,0))=$D$2,"---",INDEX(仕訳帳!I:I,MATCH(C28,仕訳帳!B:B,0))),"")</f>
        <v/>
      </c>
      <c r="E28" s="67" t="str">
        <f>IF(C28&lt;&gt;"",IF(INDEX(仕訳帳!I:I,MATCH(C28,仕訳帳!B:B,0))=$D$2,"-",INDEX(仕訳帳!E:E,MATCH(C28,仕訳帳!B:B,0))),"")</f>
        <v/>
      </c>
      <c r="F28" s="66" t="str">
        <f>IF(C28&lt;&gt;"",IF(INDEX(仕訳帳!J:J,MATCH(C28,仕訳帳!B:B,0))=$D$2,"---",INDEX(仕訳帳!J:J,MATCH(C28,仕訳帳!B:B,0))),"")</f>
        <v/>
      </c>
      <c r="G28" s="67" t="str">
        <f>IF(C28&lt;&gt;"",IF(INDEX(仕訳帳!J:J,MATCH(C28,仕訳帳!B:B,0))=$D$2,"-",INDEX(仕訳帳!H:H,MATCH(C28,仕訳帳!B:B,0))),"")</f>
        <v/>
      </c>
      <c r="H28" s="68" t="str">
        <f t="shared" si="3"/>
        <v/>
      </c>
      <c r="I28" s="68" t="str">
        <f t="shared" si="4"/>
        <v/>
      </c>
      <c r="J28" s="68" t="str">
        <f t="shared" si="5"/>
        <v/>
      </c>
      <c r="K28" s="69" t="str">
        <f>IF(C28&lt;&gt;"",IF(INDEX(仕訳帳!F:F,MATCH(C28,仕訳帳!B:B,0))="","",INDEX(仕訳帳!F:F,MATCH(C28,仕訳帳!B:B,0))),"")</f>
        <v/>
      </c>
      <c r="L28" s="69" t="str">
        <f>IF(C28&lt;&gt;"",IF(INDEX(仕訳帳!K:K,MATCH(C28,仕訳帳!B:B,0))="","",INDEX(仕訳帳!K:K,MATCH(C28,仕訳帳!B:B,0))),"")</f>
        <v/>
      </c>
    </row>
    <row r="29" spans="2:12">
      <c r="B29" s="65" t="str">
        <f>IF(C29&lt;&gt;"",INDEX(仕訳帳!C:C,MATCH(C29,仕訳帳!B:B,0)),"")</f>
        <v/>
      </c>
      <c r="C29" s="66" t="str">
        <f t="array" ref="C29">IF($D$2="","",IFERROR(INDEX(仕訳帳!B:B,MATCH(SMALL(IF((仕訳帳!I:I=$D$2)+(仕訳帳!J:J=$D$2),仕訳帳!C:C*10000+ROW(仕訳帳!C:C)),ROW(A25)),仕訳帳!C:C*10000+ROW(仕訳帳!C:C),0)),""))</f>
        <v/>
      </c>
      <c r="D29" s="66" t="str">
        <f>IF(C29&lt;&gt;"",IF(INDEX(仕訳帳!I:I,MATCH(C29,仕訳帳!B:B,0))=$D$2,"---",INDEX(仕訳帳!I:I,MATCH(C29,仕訳帳!B:B,0))),"")</f>
        <v/>
      </c>
      <c r="E29" s="67" t="str">
        <f>IF(C29&lt;&gt;"",IF(INDEX(仕訳帳!I:I,MATCH(C29,仕訳帳!B:B,0))=$D$2,"-",INDEX(仕訳帳!E:E,MATCH(C29,仕訳帳!B:B,0))),"")</f>
        <v/>
      </c>
      <c r="F29" s="66" t="str">
        <f>IF(C29&lt;&gt;"",IF(INDEX(仕訳帳!J:J,MATCH(C29,仕訳帳!B:B,0))=$D$2,"---",INDEX(仕訳帳!J:J,MATCH(C29,仕訳帳!B:B,0))),"")</f>
        <v/>
      </c>
      <c r="G29" s="67" t="str">
        <f>IF(C29&lt;&gt;"",IF(INDEX(仕訳帳!J:J,MATCH(C29,仕訳帳!B:B,0))=$D$2,"-",INDEX(仕訳帳!H:H,MATCH(C29,仕訳帳!B:B,0))),"")</f>
        <v/>
      </c>
      <c r="H29" s="68" t="str">
        <f t="shared" si="3"/>
        <v/>
      </c>
      <c r="I29" s="68" t="str">
        <f t="shared" si="4"/>
        <v/>
      </c>
      <c r="J29" s="68" t="str">
        <f t="shared" si="5"/>
        <v/>
      </c>
      <c r="K29" s="69" t="str">
        <f>IF(C29&lt;&gt;"",IF(INDEX(仕訳帳!F:F,MATCH(C29,仕訳帳!B:B,0))="","",INDEX(仕訳帳!F:F,MATCH(C29,仕訳帳!B:B,0))),"")</f>
        <v/>
      </c>
      <c r="L29" s="69" t="str">
        <f>IF(C29&lt;&gt;"",IF(INDEX(仕訳帳!K:K,MATCH(C29,仕訳帳!B:B,0))="","",INDEX(仕訳帳!K:K,MATCH(C29,仕訳帳!B:B,0))),"")</f>
        <v/>
      </c>
    </row>
    <row r="30" spans="2:12">
      <c r="B30" s="65" t="str">
        <f>IF(C30&lt;&gt;"",INDEX(仕訳帳!C:C,MATCH(C30,仕訳帳!B:B,0)),"")</f>
        <v/>
      </c>
      <c r="C30" s="66" t="str">
        <f t="array" ref="C30">IF($D$2="","",IFERROR(INDEX(仕訳帳!B:B,MATCH(SMALL(IF((仕訳帳!I:I=$D$2)+(仕訳帳!J:J=$D$2),仕訳帳!C:C*10000+ROW(仕訳帳!C:C)),ROW(A26)),仕訳帳!C:C*10000+ROW(仕訳帳!C:C),0)),""))</f>
        <v/>
      </c>
      <c r="D30" s="66" t="str">
        <f>IF(C30&lt;&gt;"",IF(INDEX(仕訳帳!I:I,MATCH(C30,仕訳帳!B:B,0))=$D$2,"---",INDEX(仕訳帳!I:I,MATCH(C30,仕訳帳!B:B,0))),"")</f>
        <v/>
      </c>
      <c r="E30" s="67" t="str">
        <f>IF(C30&lt;&gt;"",IF(INDEX(仕訳帳!I:I,MATCH(C30,仕訳帳!B:B,0))=$D$2,"-",INDEX(仕訳帳!E:E,MATCH(C30,仕訳帳!B:B,0))),"")</f>
        <v/>
      </c>
      <c r="F30" s="66" t="str">
        <f>IF(C30&lt;&gt;"",IF(INDEX(仕訳帳!J:J,MATCH(C30,仕訳帳!B:B,0))=$D$2,"---",INDEX(仕訳帳!J:J,MATCH(C30,仕訳帳!B:B,0))),"")</f>
        <v/>
      </c>
      <c r="G30" s="67" t="str">
        <f>IF(C30&lt;&gt;"",IF(INDEX(仕訳帳!J:J,MATCH(C30,仕訳帳!B:B,0))=$D$2,"-",INDEX(仕訳帳!H:H,MATCH(C30,仕訳帳!B:B,0))),"")</f>
        <v/>
      </c>
      <c r="H30" s="68" t="str">
        <f t="shared" si="3"/>
        <v/>
      </c>
      <c r="I30" s="68" t="str">
        <f t="shared" si="4"/>
        <v/>
      </c>
      <c r="J30" s="68" t="str">
        <f t="shared" si="5"/>
        <v/>
      </c>
      <c r="K30" s="69" t="str">
        <f>IF(C30&lt;&gt;"",IF(INDEX(仕訳帳!F:F,MATCH(C30,仕訳帳!B:B,0))="","",INDEX(仕訳帳!F:F,MATCH(C30,仕訳帳!B:B,0))),"")</f>
        <v/>
      </c>
      <c r="L30" s="69" t="str">
        <f>IF(C30&lt;&gt;"",IF(INDEX(仕訳帳!K:K,MATCH(C30,仕訳帳!B:B,0))="","",INDEX(仕訳帳!K:K,MATCH(C30,仕訳帳!B:B,0))),"")</f>
        <v/>
      </c>
    </row>
    <row r="31" spans="2:12">
      <c r="B31" s="65" t="str">
        <f>IF(C31&lt;&gt;"",INDEX(仕訳帳!C:C,MATCH(C31,仕訳帳!B:B,0)),"")</f>
        <v/>
      </c>
      <c r="C31" s="66" t="str">
        <f t="array" ref="C31">IF($D$2="","",IFERROR(INDEX(仕訳帳!B:B,MATCH(SMALL(IF((仕訳帳!I:I=$D$2)+(仕訳帳!J:J=$D$2),仕訳帳!C:C*10000+ROW(仕訳帳!C:C)),ROW(A27)),仕訳帳!C:C*10000+ROW(仕訳帳!C:C),0)),""))</f>
        <v/>
      </c>
      <c r="D31" s="66" t="str">
        <f>IF(C31&lt;&gt;"",IF(INDEX(仕訳帳!I:I,MATCH(C31,仕訳帳!B:B,0))=$D$2,"---",INDEX(仕訳帳!I:I,MATCH(C31,仕訳帳!B:B,0))),"")</f>
        <v/>
      </c>
      <c r="E31" s="67" t="str">
        <f>IF(C31&lt;&gt;"",IF(INDEX(仕訳帳!I:I,MATCH(C31,仕訳帳!B:B,0))=$D$2,"-",INDEX(仕訳帳!E:E,MATCH(C31,仕訳帳!B:B,0))),"")</f>
        <v/>
      </c>
      <c r="F31" s="66" t="str">
        <f>IF(C31&lt;&gt;"",IF(INDEX(仕訳帳!J:J,MATCH(C31,仕訳帳!B:B,0))=$D$2,"---",INDEX(仕訳帳!J:J,MATCH(C31,仕訳帳!B:B,0))),"")</f>
        <v/>
      </c>
      <c r="G31" s="67" t="str">
        <f>IF(C31&lt;&gt;"",IF(INDEX(仕訳帳!J:J,MATCH(C31,仕訳帳!B:B,0))=$D$2,"-",INDEX(仕訳帳!H:H,MATCH(C31,仕訳帳!B:B,0))),"")</f>
        <v/>
      </c>
      <c r="H31" s="68" t="str">
        <f t="shared" ref="H31:H55" si="6">IF(B31="","",SUM(H30,IF(E31="-",0,-E31)+IF(G31="-",0,G31)))</f>
        <v/>
      </c>
      <c r="I31" s="68" t="str">
        <f t="shared" ref="I31:I55" si="7">IF(C31="","",IF(ROW()=5,0,I30)+IF(E31="-",0,IF(E31="",0,E31)))</f>
        <v/>
      </c>
      <c r="J31" s="68" t="str">
        <f t="shared" ref="J31:J55" si="8">IF(C31="","",IF(ROW()=5,0,J30)+IF(G31="-",0,IF(G31="",0,G31)))</f>
        <v/>
      </c>
      <c r="K31" s="69" t="str">
        <f>IF(C31&lt;&gt;"",IF(INDEX(仕訳帳!F:F,MATCH(C31,仕訳帳!B:B,0))="","",INDEX(仕訳帳!F:F,MATCH(C31,仕訳帳!B:B,0))),"")</f>
        <v/>
      </c>
      <c r="L31" s="69" t="str">
        <f>IF(C31&lt;&gt;"",IF(INDEX(仕訳帳!K:K,MATCH(C31,仕訳帳!B:B,0))="","",INDEX(仕訳帳!K:K,MATCH(C31,仕訳帳!B:B,0))),"")</f>
        <v/>
      </c>
    </row>
    <row r="32" spans="2:12">
      <c r="B32" s="65" t="str">
        <f>IF(C32&lt;&gt;"",INDEX(仕訳帳!C:C,MATCH(C32,仕訳帳!B:B,0)),"")</f>
        <v/>
      </c>
      <c r="C32" s="66" t="str">
        <f t="array" ref="C32">IF($D$2="","",IFERROR(INDEX(仕訳帳!B:B,MATCH(SMALL(IF((仕訳帳!I:I=$D$2)+(仕訳帳!J:J=$D$2),仕訳帳!C:C*10000+ROW(仕訳帳!C:C)),ROW(A28)),仕訳帳!C:C*10000+ROW(仕訳帳!C:C),0)),""))</f>
        <v/>
      </c>
      <c r="D32" s="66" t="str">
        <f>IF(C32&lt;&gt;"",IF(INDEX(仕訳帳!I:I,MATCH(C32,仕訳帳!B:B,0))=$D$2,"---",INDEX(仕訳帳!I:I,MATCH(C32,仕訳帳!B:B,0))),"")</f>
        <v/>
      </c>
      <c r="E32" s="67" t="str">
        <f>IF(C32&lt;&gt;"",IF(INDEX(仕訳帳!I:I,MATCH(C32,仕訳帳!B:B,0))=$D$2,"-",INDEX(仕訳帳!E:E,MATCH(C32,仕訳帳!B:B,0))),"")</f>
        <v/>
      </c>
      <c r="F32" s="66" t="str">
        <f>IF(C32&lt;&gt;"",IF(INDEX(仕訳帳!J:J,MATCH(C32,仕訳帳!B:B,0))=$D$2,"---",INDEX(仕訳帳!J:J,MATCH(C32,仕訳帳!B:B,0))),"")</f>
        <v/>
      </c>
      <c r="G32" s="67" t="str">
        <f>IF(C32&lt;&gt;"",IF(INDEX(仕訳帳!J:J,MATCH(C32,仕訳帳!B:B,0))=$D$2,"-",INDEX(仕訳帳!H:H,MATCH(C32,仕訳帳!B:B,0))),"")</f>
        <v/>
      </c>
      <c r="H32" s="68" t="str">
        <f t="shared" si="6"/>
        <v/>
      </c>
      <c r="I32" s="68" t="str">
        <f t="shared" si="7"/>
        <v/>
      </c>
      <c r="J32" s="68" t="str">
        <f t="shared" si="8"/>
        <v/>
      </c>
      <c r="K32" s="69" t="str">
        <f>IF(C32&lt;&gt;"",IF(INDEX(仕訳帳!F:F,MATCH(C32,仕訳帳!B:B,0))="","",INDEX(仕訳帳!F:F,MATCH(C32,仕訳帳!B:B,0))),"")</f>
        <v/>
      </c>
      <c r="L32" s="69" t="str">
        <f>IF(C32&lt;&gt;"",IF(INDEX(仕訳帳!K:K,MATCH(C32,仕訳帳!B:B,0))="","",INDEX(仕訳帳!K:K,MATCH(C32,仕訳帳!B:B,0))),"")</f>
        <v/>
      </c>
    </row>
    <row r="33" spans="2:12">
      <c r="B33" s="65" t="str">
        <f>IF(C33&lt;&gt;"",INDEX(仕訳帳!C:C,MATCH(C33,仕訳帳!B:B,0)),"")</f>
        <v/>
      </c>
      <c r="C33" s="66" t="str">
        <f t="array" ref="C33">IF($D$2="","",IFERROR(INDEX(仕訳帳!B:B,MATCH(SMALL(IF((仕訳帳!I:I=$D$2)+(仕訳帳!J:J=$D$2),仕訳帳!C:C*10000+ROW(仕訳帳!C:C)),ROW(A29)),仕訳帳!C:C*10000+ROW(仕訳帳!C:C),0)),""))</f>
        <v/>
      </c>
      <c r="D33" s="66" t="str">
        <f>IF(C33&lt;&gt;"",IF(INDEX(仕訳帳!I:I,MATCH(C33,仕訳帳!B:B,0))=$D$2,"---",INDEX(仕訳帳!I:I,MATCH(C33,仕訳帳!B:B,0))),"")</f>
        <v/>
      </c>
      <c r="E33" s="67" t="str">
        <f>IF(C33&lt;&gt;"",IF(INDEX(仕訳帳!I:I,MATCH(C33,仕訳帳!B:B,0))=$D$2,"-",INDEX(仕訳帳!E:E,MATCH(C33,仕訳帳!B:B,0))),"")</f>
        <v/>
      </c>
      <c r="F33" s="66" t="str">
        <f>IF(C33&lt;&gt;"",IF(INDEX(仕訳帳!J:J,MATCH(C33,仕訳帳!B:B,0))=$D$2,"---",INDEX(仕訳帳!J:J,MATCH(C33,仕訳帳!B:B,0))),"")</f>
        <v/>
      </c>
      <c r="G33" s="67" t="str">
        <f>IF(C33&lt;&gt;"",IF(INDEX(仕訳帳!J:J,MATCH(C33,仕訳帳!B:B,0))=$D$2,"-",INDEX(仕訳帳!H:H,MATCH(C33,仕訳帳!B:B,0))),"")</f>
        <v/>
      </c>
      <c r="H33" s="68" t="str">
        <f t="shared" si="6"/>
        <v/>
      </c>
      <c r="I33" s="68" t="str">
        <f t="shared" si="7"/>
        <v/>
      </c>
      <c r="J33" s="68" t="str">
        <f t="shared" si="8"/>
        <v/>
      </c>
      <c r="K33" s="69" t="str">
        <f>IF(C33&lt;&gt;"",IF(INDEX(仕訳帳!F:F,MATCH(C33,仕訳帳!B:B,0))="","",INDEX(仕訳帳!F:F,MATCH(C33,仕訳帳!B:B,0))),"")</f>
        <v/>
      </c>
      <c r="L33" s="69" t="str">
        <f>IF(C33&lt;&gt;"",IF(INDEX(仕訳帳!K:K,MATCH(C33,仕訳帳!B:B,0))="","",INDEX(仕訳帳!K:K,MATCH(C33,仕訳帳!B:B,0))),"")</f>
        <v/>
      </c>
    </row>
    <row r="34" spans="2:12">
      <c r="B34" s="65" t="str">
        <f>IF(C34&lt;&gt;"",INDEX(仕訳帳!C:C,MATCH(C34,仕訳帳!B:B,0)),"")</f>
        <v/>
      </c>
      <c r="C34" s="66" t="str">
        <f t="array" ref="C34">IF($D$2="","",IFERROR(INDEX(仕訳帳!B:B,MATCH(SMALL(IF((仕訳帳!I:I=$D$2)+(仕訳帳!J:J=$D$2),仕訳帳!C:C*10000+ROW(仕訳帳!C:C)),ROW(A30)),仕訳帳!C:C*10000+ROW(仕訳帳!C:C),0)),""))</f>
        <v/>
      </c>
      <c r="D34" s="66" t="str">
        <f>IF(C34&lt;&gt;"",IF(INDEX(仕訳帳!I:I,MATCH(C34,仕訳帳!B:B,0))=$D$2,"---",INDEX(仕訳帳!I:I,MATCH(C34,仕訳帳!B:B,0))),"")</f>
        <v/>
      </c>
      <c r="E34" s="67" t="str">
        <f>IF(C34&lt;&gt;"",IF(INDEX(仕訳帳!I:I,MATCH(C34,仕訳帳!B:B,0))=$D$2,"-",INDEX(仕訳帳!E:E,MATCH(C34,仕訳帳!B:B,0))),"")</f>
        <v/>
      </c>
      <c r="F34" s="66" t="str">
        <f>IF(C34&lt;&gt;"",IF(INDEX(仕訳帳!J:J,MATCH(C34,仕訳帳!B:B,0))=$D$2,"---",INDEX(仕訳帳!J:J,MATCH(C34,仕訳帳!B:B,0))),"")</f>
        <v/>
      </c>
      <c r="G34" s="67" t="str">
        <f>IF(C34&lt;&gt;"",IF(INDEX(仕訳帳!J:J,MATCH(C34,仕訳帳!B:B,0))=$D$2,"-",INDEX(仕訳帳!H:H,MATCH(C34,仕訳帳!B:B,0))),"")</f>
        <v/>
      </c>
      <c r="H34" s="68" t="str">
        <f t="shared" si="6"/>
        <v/>
      </c>
      <c r="I34" s="68" t="str">
        <f t="shared" si="7"/>
        <v/>
      </c>
      <c r="J34" s="68" t="str">
        <f t="shared" si="8"/>
        <v/>
      </c>
      <c r="K34" s="69" t="str">
        <f>IF(C34&lt;&gt;"",IF(INDEX(仕訳帳!F:F,MATCH(C34,仕訳帳!B:B,0))="","",INDEX(仕訳帳!F:F,MATCH(C34,仕訳帳!B:B,0))),"")</f>
        <v/>
      </c>
      <c r="L34" s="69" t="str">
        <f>IF(C34&lt;&gt;"",IF(INDEX(仕訳帳!K:K,MATCH(C34,仕訳帳!B:B,0))="","",INDEX(仕訳帳!K:K,MATCH(C34,仕訳帳!B:B,0))),"")</f>
        <v/>
      </c>
    </row>
    <row r="35" spans="2:12">
      <c r="B35" s="65" t="str">
        <f>IF(C35&lt;&gt;"",INDEX(仕訳帳!C:C,MATCH(C35,仕訳帳!B:B,0)),"")</f>
        <v/>
      </c>
      <c r="C35" s="66" t="str">
        <f t="array" ref="C35">IF($D$2="","",IFERROR(INDEX(仕訳帳!B:B,MATCH(SMALL(IF((仕訳帳!I:I=$D$2)+(仕訳帳!J:J=$D$2),仕訳帳!C:C*10000+ROW(仕訳帳!C:C)),ROW(A31)),仕訳帳!C:C*10000+ROW(仕訳帳!C:C),0)),""))</f>
        <v/>
      </c>
      <c r="D35" s="66" t="str">
        <f>IF(C35&lt;&gt;"",IF(INDEX(仕訳帳!I:I,MATCH(C35,仕訳帳!B:B,0))=$D$2,"---",INDEX(仕訳帳!I:I,MATCH(C35,仕訳帳!B:B,0))),"")</f>
        <v/>
      </c>
      <c r="E35" s="67" t="str">
        <f>IF(C35&lt;&gt;"",IF(INDEX(仕訳帳!I:I,MATCH(C35,仕訳帳!B:B,0))=$D$2,"-",INDEX(仕訳帳!E:E,MATCH(C35,仕訳帳!B:B,0))),"")</f>
        <v/>
      </c>
      <c r="F35" s="66" t="str">
        <f>IF(C35&lt;&gt;"",IF(INDEX(仕訳帳!J:J,MATCH(C35,仕訳帳!B:B,0))=$D$2,"---",INDEX(仕訳帳!J:J,MATCH(C35,仕訳帳!B:B,0))),"")</f>
        <v/>
      </c>
      <c r="G35" s="67" t="str">
        <f>IF(C35&lt;&gt;"",IF(INDEX(仕訳帳!J:J,MATCH(C35,仕訳帳!B:B,0))=$D$2,"-",INDEX(仕訳帳!H:H,MATCH(C35,仕訳帳!B:B,0))),"")</f>
        <v/>
      </c>
      <c r="H35" s="68" t="str">
        <f t="shared" si="6"/>
        <v/>
      </c>
      <c r="I35" s="68" t="str">
        <f t="shared" si="7"/>
        <v/>
      </c>
      <c r="J35" s="68" t="str">
        <f t="shared" si="8"/>
        <v/>
      </c>
      <c r="K35" s="69" t="str">
        <f>IF(C35&lt;&gt;"",IF(INDEX(仕訳帳!F:F,MATCH(C35,仕訳帳!B:B,0))="","",INDEX(仕訳帳!F:F,MATCH(C35,仕訳帳!B:B,0))),"")</f>
        <v/>
      </c>
      <c r="L35" s="69" t="str">
        <f>IF(C35&lt;&gt;"",IF(INDEX(仕訳帳!K:K,MATCH(C35,仕訳帳!B:B,0))="","",INDEX(仕訳帳!K:K,MATCH(C35,仕訳帳!B:B,0))),"")</f>
        <v/>
      </c>
    </row>
    <row r="36" spans="2:12">
      <c r="B36" s="65" t="str">
        <f>IF(C36&lt;&gt;"",INDEX(仕訳帳!C:C,MATCH(C36,仕訳帳!B:B,0)),"")</f>
        <v/>
      </c>
      <c r="C36" s="66" t="str">
        <f t="array" ref="C36">IF($D$2="","",IFERROR(INDEX(仕訳帳!B:B,MATCH(SMALL(IF((仕訳帳!I:I=$D$2)+(仕訳帳!J:J=$D$2),仕訳帳!C:C*10000+ROW(仕訳帳!C:C)),ROW(A32)),仕訳帳!C:C*10000+ROW(仕訳帳!C:C),0)),""))</f>
        <v/>
      </c>
      <c r="D36" s="66" t="str">
        <f>IF(C36&lt;&gt;"",IF(INDEX(仕訳帳!I:I,MATCH(C36,仕訳帳!B:B,0))=$D$2,"---",INDEX(仕訳帳!I:I,MATCH(C36,仕訳帳!B:B,0))),"")</f>
        <v/>
      </c>
      <c r="E36" s="67" t="str">
        <f>IF(C36&lt;&gt;"",IF(INDEX(仕訳帳!I:I,MATCH(C36,仕訳帳!B:B,0))=$D$2,"-",INDEX(仕訳帳!E:E,MATCH(C36,仕訳帳!B:B,0))),"")</f>
        <v/>
      </c>
      <c r="F36" s="66" t="str">
        <f>IF(C36&lt;&gt;"",IF(INDEX(仕訳帳!J:J,MATCH(C36,仕訳帳!B:B,0))=$D$2,"---",INDEX(仕訳帳!J:J,MATCH(C36,仕訳帳!B:B,0))),"")</f>
        <v/>
      </c>
      <c r="G36" s="67" t="str">
        <f>IF(C36&lt;&gt;"",IF(INDEX(仕訳帳!J:J,MATCH(C36,仕訳帳!B:B,0))=$D$2,"-",INDEX(仕訳帳!H:H,MATCH(C36,仕訳帳!B:B,0))),"")</f>
        <v/>
      </c>
      <c r="H36" s="68" t="str">
        <f t="shared" si="6"/>
        <v/>
      </c>
      <c r="I36" s="68" t="str">
        <f t="shared" si="7"/>
        <v/>
      </c>
      <c r="J36" s="68" t="str">
        <f t="shared" si="8"/>
        <v/>
      </c>
      <c r="K36" s="69" t="str">
        <f>IF(C36&lt;&gt;"",IF(INDEX(仕訳帳!F:F,MATCH(C36,仕訳帳!B:B,0))="","",INDEX(仕訳帳!F:F,MATCH(C36,仕訳帳!B:B,0))),"")</f>
        <v/>
      </c>
      <c r="L36" s="69" t="str">
        <f>IF(C36&lt;&gt;"",IF(INDEX(仕訳帳!K:K,MATCH(C36,仕訳帳!B:B,0))="","",INDEX(仕訳帳!K:K,MATCH(C36,仕訳帳!B:B,0))),"")</f>
        <v/>
      </c>
    </row>
    <row r="37" spans="2:12">
      <c r="B37" s="65" t="str">
        <f>IF(C37&lt;&gt;"",INDEX(仕訳帳!C:C,MATCH(C37,仕訳帳!B:B,0)),"")</f>
        <v/>
      </c>
      <c r="C37" s="66" t="str">
        <f t="array" ref="C37">IF($D$2="","",IFERROR(INDEX(仕訳帳!B:B,MATCH(SMALL(IF((仕訳帳!I:I=$D$2)+(仕訳帳!J:J=$D$2),仕訳帳!C:C*10000+ROW(仕訳帳!C:C)),ROW(A33)),仕訳帳!C:C*10000+ROW(仕訳帳!C:C),0)),""))</f>
        <v/>
      </c>
      <c r="D37" s="66" t="str">
        <f>IF(C37&lt;&gt;"",IF(INDEX(仕訳帳!I:I,MATCH(C37,仕訳帳!B:B,0))=$D$2,"---",INDEX(仕訳帳!I:I,MATCH(C37,仕訳帳!B:B,0))),"")</f>
        <v/>
      </c>
      <c r="E37" s="67" t="str">
        <f>IF(C37&lt;&gt;"",IF(INDEX(仕訳帳!I:I,MATCH(C37,仕訳帳!B:B,0))=$D$2,"-",INDEX(仕訳帳!E:E,MATCH(C37,仕訳帳!B:B,0))),"")</f>
        <v/>
      </c>
      <c r="F37" s="66" t="str">
        <f>IF(C37&lt;&gt;"",IF(INDEX(仕訳帳!J:J,MATCH(C37,仕訳帳!B:B,0))=$D$2,"---",INDEX(仕訳帳!J:J,MATCH(C37,仕訳帳!B:B,0))),"")</f>
        <v/>
      </c>
      <c r="G37" s="67" t="str">
        <f>IF(C37&lt;&gt;"",IF(INDEX(仕訳帳!J:J,MATCH(C37,仕訳帳!B:B,0))=$D$2,"-",INDEX(仕訳帳!H:H,MATCH(C37,仕訳帳!B:B,0))),"")</f>
        <v/>
      </c>
      <c r="H37" s="68" t="str">
        <f t="shared" si="6"/>
        <v/>
      </c>
      <c r="I37" s="68" t="str">
        <f t="shared" si="7"/>
        <v/>
      </c>
      <c r="J37" s="68" t="str">
        <f t="shared" si="8"/>
        <v/>
      </c>
      <c r="K37" s="69" t="str">
        <f>IF(C37&lt;&gt;"",IF(INDEX(仕訳帳!F:F,MATCH(C37,仕訳帳!B:B,0))="","",INDEX(仕訳帳!F:F,MATCH(C37,仕訳帳!B:B,0))),"")</f>
        <v/>
      </c>
      <c r="L37" s="69" t="str">
        <f>IF(C37&lt;&gt;"",IF(INDEX(仕訳帳!K:K,MATCH(C37,仕訳帳!B:B,0))="","",INDEX(仕訳帳!K:K,MATCH(C37,仕訳帳!B:B,0))),"")</f>
        <v/>
      </c>
    </row>
    <row r="38" spans="2:12">
      <c r="B38" s="65" t="str">
        <f>IF(C38&lt;&gt;"",INDEX(仕訳帳!C:C,MATCH(C38,仕訳帳!B:B,0)),"")</f>
        <v/>
      </c>
      <c r="C38" s="66" t="str">
        <f t="array" ref="C38">IF($D$2="","",IFERROR(INDEX(仕訳帳!B:B,MATCH(SMALL(IF((仕訳帳!I:I=$D$2)+(仕訳帳!J:J=$D$2),仕訳帳!C:C*10000+ROW(仕訳帳!C:C)),ROW(A34)),仕訳帳!C:C*10000+ROW(仕訳帳!C:C),0)),""))</f>
        <v/>
      </c>
      <c r="D38" s="66" t="str">
        <f>IF(C38&lt;&gt;"",IF(INDEX(仕訳帳!I:I,MATCH(C38,仕訳帳!B:B,0))=$D$2,"---",INDEX(仕訳帳!I:I,MATCH(C38,仕訳帳!B:B,0))),"")</f>
        <v/>
      </c>
      <c r="E38" s="67" t="str">
        <f>IF(C38&lt;&gt;"",IF(INDEX(仕訳帳!I:I,MATCH(C38,仕訳帳!B:B,0))=$D$2,"-",INDEX(仕訳帳!E:E,MATCH(C38,仕訳帳!B:B,0))),"")</f>
        <v/>
      </c>
      <c r="F38" s="66" t="str">
        <f>IF(C38&lt;&gt;"",IF(INDEX(仕訳帳!J:J,MATCH(C38,仕訳帳!B:B,0))=$D$2,"---",INDEX(仕訳帳!J:J,MATCH(C38,仕訳帳!B:B,0))),"")</f>
        <v/>
      </c>
      <c r="G38" s="67" t="str">
        <f>IF(C38&lt;&gt;"",IF(INDEX(仕訳帳!J:J,MATCH(C38,仕訳帳!B:B,0))=$D$2,"-",INDEX(仕訳帳!H:H,MATCH(C38,仕訳帳!B:B,0))),"")</f>
        <v/>
      </c>
      <c r="H38" s="68" t="str">
        <f t="shared" si="6"/>
        <v/>
      </c>
      <c r="I38" s="68" t="str">
        <f t="shared" si="7"/>
        <v/>
      </c>
      <c r="J38" s="68" t="str">
        <f t="shared" si="8"/>
        <v/>
      </c>
      <c r="K38" s="69" t="str">
        <f>IF(C38&lt;&gt;"",IF(INDEX(仕訳帳!F:F,MATCH(C38,仕訳帳!B:B,0))="","",INDEX(仕訳帳!F:F,MATCH(C38,仕訳帳!B:B,0))),"")</f>
        <v/>
      </c>
      <c r="L38" s="69" t="str">
        <f>IF(C38&lt;&gt;"",IF(INDEX(仕訳帳!K:K,MATCH(C38,仕訳帳!B:B,0))="","",INDEX(仕訳帳!K:K,MATCH(C38,仕訳帳!B:B,0))),"")</f>
        <v/>
      </c>
    </row>
    <row r="39" spans="2:12">
      <c r="B39" s="65" t="str">
        <f>IF(C39&lt;&gt;"",INDEX(仕訳帳!C:C,MATCH(C39,仕訳帳!B:B,0)),"")</f>
        <v/>
      </c>
      <c r="C39" s="66" t="str">
        <f t="array" ref="C39">IF($D$2="","",IFERROR(INDEX(仕訳帳!B:B,MATCH(SMALL(IF((仕訳帳!I:I=$D$2)+(仕訳帳!J:J=$D$2),仕訳帳!C:C*10000+ROW(仕訳帳!C:C)),ROW(A35)),仕訳帳!C:C*10000+ROW(仕訳帳!C:C),0)),""))</f>
        <v/>
      </c>
      <c r="D39" s="66" t="str">
        <f>IF(C39&lt;&gt;"",IF(INDEX(仕訳帳!I:I,MATCH(C39,仕訳帳!B:B,0))=$D$2,"---",INDEX(仕訳帳!I:I,MATCH(C39,仕訳帳!B:B,0))),"")</f>
        <v/>
      </c>
      <c r="E39" s="67" t="str">
        <f>IF(C39&lt;&gt;"",IF(INDEX(仕訳帳!I:I,MATCH(C39,仕訳帳!B:B,0))=$D$2,"-",INDEX(仕訳帳!E:E,MATCH(C39,仕訳帳!B:B,0))),"")</f>
        <v/>
      </c>
      <c r="F39" s="66" t="str">
        <f>IF(C39&lt;&gt;"",IF(INDEX(仕訳帳!J:J,MATCH(C39,仕訳帳!B:B,0))=$D$2,"---",INDEX(仕訳帳!J:J,MATCH(C39,仕訳帳!B:B,0))),"")</f>
        <v/>
      </c>
      <c r="G39" s="67" t="str">
        <f>IF(C39&lt;&gt;"",IF(INDEX(仕訳帳!J:J,MATCH(C39,仕訳帳!B:B,0))=$D$2,"-",INDEX(仕訳帳!H:H,MATCH(C39,仕訳帳!B:B,0))),"")</f>
        <v/>
      </c>
      <c r="H39" s="68" t="str">
        <f t="shared" si="6"/>
        <v/>
      </c>
      <c r="I39" s="68" t="str">
        <f t="shared" si="7"/>
        <v/>
      </c>
      <c r="J39" s="68" t="str">
        <f t="shared" si="8"/>
        <v/>
      </c>
      <c r="K39" s="69" t="str">
        <f>IF(C39&lt;&gt;"",IF(INDEX(仕訳帳!F:F,MATCH(C39,仕訳帳!B:B,0))="","",INDEX(仕訳帳!F:F,MATCH(C39,仕訳帳!B:B,0))),"")</f>
        <v/>
      </c>
      <c r="L39" s="69" t="str">
        <f>IF(C39&lt;&gt;"",IF(INDEX(仕訳帳!K:K,MATCH(C39,仕訳帳!B:B,0))="","",INDEX(仕訳帳!K:K,MATCH(C39,仕訳帳!B:B,0))),"")</f>
        <v/>
      </c>
    </row>
    <row r="40" spans="2:12">
      <c r="B40" s="65" t="str">
        <f>IF(C40&lt;&gt;"",INDEX(仕訳帳!C:C,MATCH(C40,仕訳帳!B:B,0)),"")</f>
        <v/>
      </c>
      <c r="C40" s="66" t="str">
        <f t="array" ref="C40">IF($D$2="","",IFERROR(INDEX(仕訳帳!B:B,MATCH(SMALL(IF((仕訳帳!I:I=$D$2)+(仕訳帳!J:J=$D$2),仕訳帳!C:C*10000+ROW(仕訳帳!C:C)),ROW(A36)),仕訳帳!C:C*10000+ROW(仕訳帳!C:C),0)),""))</f>
        <v/>
      </c>
      <c r="D40" s="66" t="str">
        <f>IF(C40&lt;&gt;"",IF(INDEX(仕訳帳!I:I,MATCH(C40,仕訳帳!B:B,0))=$D$2,"---",INDEX(仕訳帳!I:I,MATCH(C40,仕訳帳!B:B,0))),"")</f>
        <v/>
      </c>
      <c r="E40" s="67" t="str">
        <f>IF(C40&lt;&gt;"",IF(INDEX(仕訳帳!I:I,MATCH(C40,仕訳帳!B:B,0))=$D$2,"-",INDEX(仕訳帳!E:E,MATCH(C40,仕訳帳!B:B,0))),"")</f>
        <v/>
      </c>
      <c r="F40" s="66" t="str">
        <f>IF(C40&lt;&gt;"",IF(INDEX(仕訳帳!J:J,MATCH(C40,仕訳帳!B:B,0))=$D$2,"---",INDEX(仕訳帳!J:J,MATCH(C40,仕訳帳!B:B,0))),"")</f>
        <v/>
      </c>
      <c r="G40" s="67" t="str">
        <f>IF(C40&lt;&gt;"",IF(INDEX(仕訳帳!J:J,MATCH(C40,仕訳帳!B:B,0))=$D$2,"-",INDEX(仕訳帳!H:H,MATCH(C40,仕訳帳!B:B,0))),"")</f>
        <v/>
      </c>
      <c r="H40" s="68" t="str">
        <f t="shared" si="6"/>
        <v/>
      </c>
      <c r="I40" s="68" t="str">
        <f t="shared" si="7"/>
        <v/>
      </c>
      <c r="J40" s="68" t="str">
        <f t="shared" si="8"/>
        <v/>
      </c>
      <c r="K40" s="69" t="str">
        <f>IF(C40&lt;&gt;"",IF(INDEX(仕訳帳!F:F,MATCH(C40,仕訳帳!B:B,0))="","",INDEX(仕訳帳!F:F,MATCH(C40,仕訳帳!B:B,0))),"")</f>
        <v/>
      </c>
      <c r="L40" s="69" t="str">
        <f>IF(C40&lt;&gt;"",IF(INDEX(仕訳帳!K:K,MATCH(C40,仕訳帳!B:B,0))="","",INDEX(仕訳帳!K:K,MATCH(C40,仕訳帳!B:B,0))),"")</f>
        <v/>
      </c>
    </row>
    <row r="41" spans="2:12">
      <c r="B41" s="65" t="str">
        <f>IF(C41&lt;&gt;"",INDEX(仕訳帳!C:C,MATCH(C41,仕訳帳!B:B,0)),"")</f>
        <v/>
      </c>
      <c r="C41" s="66" t="str">
        <f t="array" ref="C41">IF($D$2="","",IFERROR(INDEX(仕訳帳!B:B,MATCH(SMALL(IF((仕訳帳!I:I=$D$2)+(仕訳帳!J:J=$D$2),仕訳帳!C:C*10000+ROW(仕訳帳!C:C)),ROW(A37)),仕訳帳!C:C*10000+ROW(仕訳帳!C:C),0)),""))</f>
        <v/>
      </c>
      <c r="D41" s="66" t="str">
        <f>IF(C41&lt;&gt;"",IF(INDEX(仕訳帳!I:I,MATCH(C41,仕訳帳!B:B,0))=$D$2,"---",INDEX(仕訳帳!I:I,MATCH(C41,仕訳帳!B:B,0))),"")</f>
        <v/>
      </c>
      <c r="E41" s="67" t="str">
        <f>IF(C41&lt;&gt;"",IF(INDEX(仕訳帳!I:I,MATCH(C41,仕訳帳!B:B,0))=$D$2,"-",INDEX(仕訳帳!E:E,MATCH(C41,仕訳帳!B:B,0))),"")</f>
        <v/>
      </c>
      <c r="F41" s="66" t="str">
        <f>IF(C41&lt;&gt;"",IF(INDEX(仕訳帳!J:J,MATCH(C41,仕訳帳!B:B,0))=$D$2,"---",INDEX(仕訳帳!J:J,MATCH(C41,仕訳帳!B:B,0))),"")</f>
        <v/>
      </c>
      <c r="G41" s="67" t="str">
        <f>IF(C41&lt;&gt;"",IF(INDEX(仕訳帳!J:J,MATCH(C41,仕訳帳!B:B,0))=$D$2,"-",INDEX(仕訳帳!H:H,MATCH(C41,仕訳帳!B:B,0))),"")</f>
        <v/>
      </c>
      <c r="H41" s="68" t="str">
        <f t="shared" si="6"/>
        <v/>
      </c>
      <c r="I41" s="68" t="str">
        <f t="shared" si="7"/>
        <v/>
      </c>
      <c r="J41" s="68" t="str">
        <f t="shared" si="8"/>
        <v/>
      </c>
      <c r="K41" s="69" t="str">
        <f>IF(C41&lt;&gt;"",IF(INDEX(仕訳帳!F:F,MATCH(C41,仕訳帳!B:B,0))="","",INDEX(仕訳帳!F:F,MATCH(C41,仕訳帳!B:B,0))),"")</f>
        <v/>
      </c>
      <c r="L41" s="69" t="str">
        <f>IF(C41&lt;&gt;"",IF(INDEX(仕訳帳!K:K,MATCH(C41,仕訳帳!B:B,0))="","",INDEX(仕訳帳!K:K,MATCH(C41,仕訳帳!B:B,0))),"")</f>
        <v/>
      </c>
    </row>
    <row r="42" spans="2:12">
      <c r="B42" s="65" t="str">
        <f>IF(C42&lt;&gt;"",INDEX(仕訳帳!C:C,MATCH(C42,仕訳帳!B:B,0)),"")</f>
        <v/>
      </c>
      <c r="C42" s="66" t="str">
        <f t="array" ref="C42">IF($D$2="","",IFERROR(INDEX(仕訳帳!B:B,MATCH(SMALL(IF((仕訳帳!I:I=$D$2)+(仕訳帳!J:J=$D$2),仕訳帳!C:C*10000+ROW(仕訳帳!C:C)),ROW(A38)),仕訳帳!C:C*10000+ROW(仕訳帳!C:C),0)),""))</f>
        <v/>
      </c>
      <c r="D42" s="66" t="str">
        <f>IF(C42&lt;&gt;"",IF(INDEX(仕訳帳!I:I,MATCH(C42,仕訳帳!B:B,0))=$D$2,"---",INDEX(仕訳帳!I:I,MATCH(C42,仕訳帳!B:B,0))),"")</f>
        <v/>
      </c>
      <c r="E42" s="67" t="str">
        <f>IF(C42&lt;&gt;"",IF(INDEX(仕訳帳!I:I,MATCH(C42,仕訳帳!B:B,0))=$D$2,"-",INDEX(仕訳帳!E:E,MATCH(C42,仕訳帳!B:B,0))),"")</f>
        <v/>
      </c>
      <c r="F42" s="66" t="str">
        <f>IF(C42&lt;&gt;"",IF(INDEX(仕訳帳!J:J,MATCH(C42,仕訳帳!B:B,0))=$D$2,"---",INDEX(仕訳帳!J:J,MATCH(C42,仕訳帳!B:B,0))),"")</f>
        <v/>
      </c>
      <c r="G42" s="67" t="str">
        <f>IF(C42&lt;&gt;"",IF(INDEX(仕訳帳!J:J,MATCH(C42,仕訳帳!B:B,0))=$D$2,"-",INDEX(仕訳帳!H:H,MATCH(C42,仕訳帳!B:B,0))),"")</f>
        <v/>
      </c>
      <c r="H42" s="68" t="str">
        <f t="shared" si="6"/>
        <v/>
      </c>
      <c r="I42" s="68" t="str">
        <f t="shared" si="7"/>
        <v/>
      </c>
      <c r="J42" s="68" t="str">
        <f t="shared" si="8"/>
        <v/>
      </c>
      <c r="K42" s="69" t="str">
        <f>IF(C42&lt;&gt;"",IF(INDEX(仕訳帳!F:F,MATCH(C42,仕訳帳!B:B,0))="","",INDEX(仕訳帳!F:F,MATCH(C42,仕訳帳!B:B,0))),"")</f>
        <v/>
      </c>
      <c r="L42" s="69" t="str">
        <f>IF(C42&lt;&gt;"",IF(INDEX(仕訳帳!K:K,MATCH(C42,仕訳帳!B:B,0))="","",INDEX(仕訳帳!K:K,MATCH(C42,仕訳帳!B:B,0))),"")</f>
        <v/>
      </c>
    </row>
    <row r="43" spans="2:12">
      <c r="B43" s="65" t="str">
        <f>IF(C43&lt;&gt;"",INDEX(仕訳帳!C:C,MATCH(C43,仕訳帳!B:B,0)),"")</f>
        <v/>
      </c>
      <c r="C43" s="66" t="str">
        <f t="array" ref="C43">IF($D$2="","",IFERROR(INDEX(仕訳帳!B:B,MATCH(SMALL(IF((仕訳帳!I:I=$D$2)+(仕訳帳!J:J=$D$2),仕訳帳!C:C*10000+ROW(仕訳帳!C:C)),ROW(A39)),仕訳帳!C:C*10000+ROW(仕訳帳!C:C),0)),""))</f>
        <v/>
      </c>
      <c r="D43" s="66" t="str">
        <f>IF(C43&lt;&gt;"",IF(INDEX(仕訳帳!I:I,MATCH(C43,仕訳帳!B:B,0))=$D$2,"---",INDEX(仕訳帳!I:I,MATCH(C43,仕訳帳!B:B,0))),"")</f>
        <v/>
      </c>
      <c r="E43" s="67" t="str">
        <f>IF(C43&lt;&gt;"",IF(INDEX(仕訳帳!I:I,MATCH(C43,仕訳帳!B:B,0))=$D$2,"-",INDEX(仕訳帳!E:E,MATCH(C43,仕訳帳!B:B,0))),"")</f>
        <v/>
      </c>
      <c r="F43" s="66" t="str">
        <f>IF(C43&lt;&gt;"",IF(INDEX(仕訳帳!J:J,MATCH(C43,仕訳帳!B:B,0))=$D$2,"---",INDEX(仕訳帳!J:J,MATCH(C43,仕訳帳!B:B,0))),"")</f>
        <v/>
      </c>
      <c r="G43" s="67" t="str">
        <f>IF(C43&lt;&gt;"",IF(INDEX(仕訳帳!J:J,MATCH(C43,仕訳帳!B:B,0))=$D$2,"-",INDEX(仕訳帳!H:H,MATCH(C43,仕訳帳!B:B,0))),"")</f>
        <v/>
      </c>
      <c r="H43" s="68" t="str">
        <f t="shared" si="6"/>
        <v/>
      </c>
      <c r="I43" s="68" t="str">
        <f t="shared" si="7"/>
        <v/>
      </c>
      <c r="J43" s="68" t="str">
        <f t="shared" si="8"/>
        <v/>
      </c>
      <c r="K43" s="69" t="str">
        <f>IF(C43&lt;&gt;"",IF(INDEX(仕訳帳!F:F,MATCH(C43,仕訳帳!B:B,0))="","",INDEX(仕訳帳!F:F,MATCH(C43,仕訳帳!B:B,0))),"")</f>
        <v/>
      </c>
      <c r="L43" s="69" t="str">
        <f>IF(C43&lt;&gt;"",IF(INDEX(仕訳帳!K:K,MATCH(C43,仕訳帳!B:B,0))="","",INDEX(仕訳帳!K:K,MATCH(C43,仕訳帳!B:B,0))),"")</f>
        <v/>
      </c>
    </row>
    <row r="44" spans="2:12">
      <c r="B44" s="65" t="str">
        <f>IF(C44&lt;&gt;"",INDEX(仕訳帳!C:C,MATCH(C44,仕訳帳!B:B,0)),"")</f>
        <v/>
      </c>
      <c r="C44" s="66" t="str">
        <f t="array" ref="C44">IF($D$2="","",IFERROR(INDEX(仕訳帳!B:B,MATCH(SMALL(IF((仕訳帳!I:I=$D$2)+(仕訳帳!J:J=$D$2),仕訳帳!C:C*10000+ROW(仕訳帳!C:C)),ROW(A40)),仕訳帳!C:C*10000+ROW(仕訳帳!C:C),0)),""))</f>
        <v/>
      </c>
      <c r="D44" s="66" t="str">
        <f>IF(C44&lt;&gt;"",IF(INDEX(仕訳帳!I:I,MATCH(C44,仕訳帳!B:B,0))=$D$2,"---",INDEX(仕訳帳!I:I,MATCH(C44,仕訳帳!B:B,0))),"")</f>
        <v/>
      </c>
      <c r="E44" s="67" t="str">
        <f>IF(C44&lt;&gt;"",IF(INDEX(仕訳帳!I:I,MATCH(C44,仕訳帳!B:B,0))=$D$2,"-",INDEX(仕訳帳!E:E,MATCH(C44,仕訳帳!B:B,0))),"")</f>
        <v/>
      </c>
      <c r="F44" s="66" t="str">
        <f>IF(C44&lt;&gt;"",IF(INDEX(仕訳帳!J:J,MATCH(C44,仕訳帳!B:B,0))=$D$2,"---",INDEX(仕訳帳!J:J,MATCH(C44,仕訳帳!B:B,0))),"")</f>
        <v/>
      </c>
      <c r="G44" s="67" t="str">
        <f>IF(C44&lt;&gt;"",IF(INDEX(仕訳帳!J:J,MATCH(C44,仕訳帳!B:B,0))=$D$2,"-",INDEX(仕訳帳!H:H,MATCH(C44,仕訳帳!B:B,0))),"")</f>
        <v/>
      </c>
      <c r="H44" s="68" t="str">
        <f t="shared" si="6"/>
        <v/>
      </c>
      <c r="I44" s="68" t="str">
        <f t="shared" si="7"/>
        <v/>
      </c>
      <c r="J44" s="68" t="str">
        <f t="shared" si="8"/>
        <v/>
      </c>
      <c r="K44" s="69" t="str">
        <f>IF(C44&lt;&gt;"",IF(INDEX(仕訳帳!F:F,MATCH(C44,仕訳帳!B:B,0))="","",INDEX(仕訳帳!F:F,MATCH(C44,仕訳帳!B:B,0))),"")</f>
        <v/>
      </c>
      <c r="L44" s="69" t="str">
        <f>IF(C44&lt;&gt;"",IF(INDEX(仕訳帳!K:K,MATCH(C44,仕訳帳!B:B,0))="","",INDEX(仕訳帳!K:K,MATCH(C44,仕訳帳!B:B,0))),"")</f>
        <v/>
      </c>
    </row>
    <row r="45" spans="2:12">
      <c r="B45" s="65" t="str">
        <f>IF(C45&lt;&gt;"",INDEX(仕訳帳!C:C,MATCH(C45,仕訳帳!B:B,0)),"")</f>
        <v/>
      </c>
      <c r="C45" s="66" t="str">
        <f t="array" ref="C45">IF($D$2="","",IFERROR(INDEX(仕訳帳!B:B,MATCH(SMALL(IF((仕訳帳!I:I=$D$2)+(仕訳帳!J:J=$D$2),仕訳帳!C:C*10000+ROW(仕訳帳!C:C)),ROW(A41)),仕訳帳!C:C*10000+ROW(仕訳帳!C:C),0)),""))</f>
        <v/>
      </c>
      <c r="D45" s="66" t="str">
        <f>IF(C45&lt;&gt;"",IF(INDEX(仕訳帳!I:I,MATCH(C45,仕訳帳!B:B,0))=$D$2,"---",INDEX(仕訳帳!I:I,MATCH(C45,仕訳帳!B:B,0))),"")</f>
        <v/>
      </c>
      <c r="E45" s="67" t="str">
        <f>IF(C45&lt;&gt;"",IF(INDEX(仕訳帳!I:I,MATCH(C45,仕訳帳!B:B,0))=$D$2,"-",INDEX(仕訳帳!E:E,MATCH(C45,仕訳帳!B:B,0))),"")</f>
        <v/>
      </c>
      <c r="F45" s="66" t="str">
        <f>IF(C45&lt;&gt;"",IF(INDEX(仕訳帳!J:J,MATCH(C45,仕訳帳!B:B,0))=$D$2,"---",INDEX(仕訳帳!J:J,MATCH(C45,仕訳帳!B:B,0))),"")</f>
        <v/>
      </c>
      <c r="G45" s="67" t="str">
        <f>IF(C45&lt;&gt;"",IF(INDEX(仕訳帳!J:J,MATCH(C45,仕訳帳!B:B,0))=$D$2,"-",INDEX(仕訳帳!H:H,MATCH(C45,仕訳帳!B:B,0))),"")</f>
        <v/>
      </c>
      <c r="H45" s="68" t="str">
        <f t="shared" si="6"/>
        <v/>
      </c>
      <c r="I45" s="68" t="str">
        <f t="shared" si="7"/>
        <v/>
      </c>
      <c r="J45" s="68" t="str">
        <f t="shared" si="8"/>
        <v/>
      </c>
      <c r="K45" s="69" t="str">
        <f>IF(C45&lt;&gt;"",IF(INDEX(仕訳帳!F:F,MATCH(C45,仕訳帳!B:B,0))="","",INDEX(仕訳帳!F:F,MATCH(C45,仕訳帳!B:B,0))),"")</f>
        <v/>
      </c>
      <c r="L45" s="69" t="str">
        <f>IF(C45&lt;&gt;"",IF(INDEX(仕訳帳!K:K,MATCH(C45,仕訳帳!B:B,0))="","",INDEX(仕訳帳!K:K,MATCH(C45,仕訳帳!B:B,0))),"")</f>
        <v/>
      </c>
    </row>
    <row r="46" spans="2:12">
      <c r="B46" s="65" t="str">
        <f>IF(C46&lt;&gt;"",INDEX(仕訳帳!C:C,MATCH(C46,仕訳帳!B:B,0)),"")</f>
        <v/>
      </c>
      <c r="C46" s="66" t="str">
        <f t="array" ref="C46">IF($D$2="","",IFERROR(INDEX(仕訳帳!B:B,MATCH(SMALL(IF((仕訳帳!I:I=$D$2)+(仕訳帳!J:J=$D$2),仕訳帳!C:C*10000+ROW(仕訳帳!C:C)),ROW(A42)),仕訳帳!C:C*10000+ROW(仕訳帳!C:C),0)),""))</f>
        <v/>
      </c>
      <c r="D46" s="66" t="str">
        <f>IF(C46&lt;&gt;"",IF(INDEX(仕訳帳!I:I,MATCH(C46,仕訳帳!B:B,0))=$D$2,"---",INDEX(仕訳帳!I:I,MATCH(C46,仕訳帳!B:B,0))),"")</f>
        <v/>
      </c>
      <c r="E46" s="67" t="str">
        <f>IF(C46&lt;&gt;"",IF(INDEX(仕訳帳!I:I,MATCH(C46,仕訳帳!B:B,0))=$D$2,"-",INDEX(仕訳帳!E:E,MATCH(C46,仕訳帳!B:B,0))),"")</f>
        <v/>
      </c>
      <c r="F46" s="66" t="str">
        <f>IF(C46&lt;&gt;"",IF(INDEX(仕訳帳!J:J,MATCH(C46,仕訳帳!B:B,0))=$D$2,"---",INDEX(仕訳帳!J:J,MATCH(C46,仕訳帳!B:B,0))),"")</f>
        <v/>
      </c>
      <c r="G46" s="67" t="str">
        <f>IF(C46&lt;&gt;"",IF(INDEX(仕訳帳!J:J,MATCH(C46,仕訳帳!B:B,0))=$D$2,"-",INDEX(仕訳帳!H:H,MATCH(C46,仕訳帳!B:B,0))),"")</f>
        <v/>
      </c>
      <c r="H46" s="68" t="str">
        <f t="shared" si="6"/>
        <v/>
      </c>
      <c r="I46" s="68" t="str">
        <f t="shared" si="7"/>
        <v/>
      </c>
      <c r="J46" s="68" t="str">
        <f t="shared" si="8"/>
        <v/>
      </c>
      <c r="K46" s="69" t="str">
        <f>IF(C46&lt;&gt;"",IF(INDEX(仕訳帳!F:F,MATCH(C46,仕訳帳!B:B,0))="","",INDEX(仕訳帳!F:F,MATCH(C46,仕訳帳!B:B,0))),"")</f>
        <v/>
      </c>
      <c r="L46" s="69" t="str">
        <f>IF(C46&lt;&gt;"",IF(INDEX(仕訳帳!K:K,MATCH(C46,仕訳帳!B:B,0))="","",INDEX(仕訳帳!K:K,MATCH(C46,仕訳帳!B:B,0))),"")</f>
        <v/>
      </c>
    </row>
    <row r="47" spans="2:12">
      <c r="B47" s="65" t="str">
        <f>IF(C47&lt;&gt;"",INDEX(仕訳帳!C:C,MATCH(C47,仕訳帳!B:B,0)),"")</f>
        <v/>
      </c>
      <c r="C47" s="66" t="str">
        <f t="array" ref="C47">IF($D$2="","",IFERROR(INDEX(仕訳帳!B:B,MATCH(SMALL(IF((仕訳帳!I:I=$D$2)+(仕訳帳!J:J=$D$2),仕訳帳!C:C*10000+ROW(仕訳帳!C:C)),ROW(A43)),仕訳帳!C:C*10000+ROW(仕訳帳!C:C),0)),""))</f>
        <v/>
      </c>
      <c r="D47" s="66" t="str">
        <f>IF(C47&lt;&gt;"",IF(INDEX(仕訳帳!I:I,MATCH(C47,仕訳帳!B:B,0))=$D$2,"---",INDEX(仕訳帳!I:I,MATCH(C47,仕訳帳!B:B,0))),"")</f>
        <v/>
      </c>
      <c r="E47" s="67" t="str">
        <f>IF(C47&lt;&gt;"",IF(INDEX(仕訳帳!I:I,MATCH(C47,仕訳帳!B:B,0))=$D$2,"-",INDEX(仕訳帳!E:E,MATCH(C47,仕訳帳!B:B,0))),"")</f>
        <v/>
      </c>
      <c r="F47" s="66" t="str">
        <f>IF(C47&lt;&gt;"",IF(INDEX(仕訳帳!J:J,MATCH(C47,仕訳帳!B:B,0))=$D$2,"---",INDEX(仕訳帳!J:J,MATCH(C47,仕訳帳!B:B,0))),"")</f>
        <v/>
      </c>
      <c r="G47" s="67" t="str">
        <f>IF(C47&lt;&gt;"",IF(INDEX(仕訳帳!J:J,MATCH(C47,仕訳帳!B:B,0))=$D$2,"-",INDEX(仕訳帳!H:H,MATCH(C47,仕訳帳!B:B,0))),"")</f>
        <v/>
      </c>
      <c r="H47" s="68" t="str">
        <f t="shared" si="6"/>
        <v/>
      </c>
      <c r="I47" s="68" t="str">
        <f t="shared" si="7"/>
        <v/>
      </c>
      <c r="J47" s="68" t="str">
        <f t="shared" si="8"/>
        <v/>
      </c>
      <c r="K47" s="69" t="str">
        <f>IF(C47&lt;&gt;"",IF(INDEX(仕訳帳!F:F,MATCH(C47,仕訳帳!B:B,0))="","",INDEX(仕訳帳!F:F,MATCH(C47,仕訳帳!B:B,0))),"")</f>
        <v/>
      </c>
      <c r="L47" s="69" t="str">
        <f>IF(C47&lt;&gt;"",IF(INDEX(仕訳帳!K:K,MATCH(C47,仕訳帳!B:B,0))="","",INDEX(仕訳帳!K:K,MATCH(C47,仕訳帳!B:B,0))),"")</f>
        <v/>
      </c>
    </row>
    <row r="48" spans="2:12">
      <c r="B48" s="65" t="str">
        <f>IF(C48&lt;&gt;"",INDEX(仕訳帳!C:C,MATCH(C48,仕訳帳!B:B,0)),"")</f>
        <v/>
      </c>
      <c r="C48" s="66" t="str">
        <f t="array" ref="C48">IF($D$2="","",IFERROR(INDEX(仕訳帳!B:B,MATCH(SMALL(IF((仕訳帳!I:I=$D$2)+(仕訳帳!J:J=$D$2),仕訳帳!C:C*10000+ROW(仕訳帳!C:C)),ROW(A44)),仕訳帳!C:C*10000+ROW(仕訳帳!C:C),0)),""))</f>
        <v/>
      </c>
      <c r="D48" s="66" t="str">
        <f>IF(C48&lt;&gt;"",IF(INDEX(仕訳帳!I:I,MATCH(C48,仕訳帳!B:B,0))=$D$2,"---",INDEX(仕訳帳!I:I,MATCH(C48,仕訳帳!B:B,0))),"")</f>
        <v/>
      </c>
      <c r="E48" s="67" t="str">
        <f>IF(C48&lt;&gt;"",IF(INDEX(仕訳帳!I:I,MATCH(C48,仕訳帳!B:B,0))=$D$2,"-",INDEX(仕訳帳!E:E,MATCH(C48,仕訳帳!B:B,0))),"")</f>
        <v/>
      </c>
      <c r="F48" s="66" t="str">
        <f>IF(C48&lt;&gt;"",IF(INDEX(仕訳帳!J:J,MATCH(C48,仕訳帳!B:B,0))=$D$2,"---",INDEX(仕訳帳!J:J,MATCH(C48,仕訳帳!B:B,0))),"")</f>
        <v/>
      </c>
      <c r="G48" s="67" t="str">
        <f>IF(C48&lt;&gt;"",IF(INDEX(仕訳帳!J:J,MATCH(C48,仕訳帳!B:B,0))=$D$2,"-",INDEX(仕訳帳!H:H,MATCH(C48,仕訳帳!B:B,0))),"")</f>
        <v/>
      </c>
      <c r="H48" s="68" t="str">
        <f t="shared" si="6"/>
        <v/>
      </c>
      <c r="I48" s="68" t="str">
        <f t="shared" si="7"/>
        <v/>
      </c>
      <c r="J48" s="68" t="str">
        <f t="shared" si="8"/>
        <v/>
      </c>
      <c r="K48" s="69" t="str">
        <f>IF(C48&lt;&gt;"",IF(INDEX(仕訳帳!F:F,MATCH(C48,仕訳帳!B:B,0))="","",INDEX(仕訳帳!F:F,MATCH(C48,仕訳帳!B:B,0))),"")</f>
        <v/>
      </c>
      <c r="L48" s="69" t="str">
        <f>IF(C48&lt;&gt;"",IF(INDEX(仕訳帳!K:K,MATCH(C48,仕訳帳!B:B,0))="","",INDEX(仕訳帳!K:K,MATCH(C48,仕訳帳!B:B,0))),"")</f>
        <v/>
      </c>
    </row>
    <row r="49" spans="2:12">
      <c r="B49" s="65" t="str">
        <f>IF(C49&lt;&gt;"",INDEX(仕訳帳!C:C,MATCH(C49,仕訳帳!B:B,0)),"")</f>
        <v/>
      </c>
      <c r="C49" s="66" t="str">
        <f t="array" ref="C49">IF($D$2="","",IFERROR(INDEX(仕訳帳!B:B,MATCH(SMALL(IF((仕訳帳!I:I=$D$2)+(仕訳帳!J:J=$D$2),仕訳帳!C:C*10000+ROW(仕訳帳!C:C)),ROW(A45)),仕訳帳!C:C*10000+ROW(仕訳帳!C:C),0)),""))</f>
        <v/>
      </c>
      <c r="D49" s="66" t="str">
        <f>IF(C49&lt;&gt;"",IF(INDEX(仕訳帳!I:I,MATCH(C49,仕訳帳!B:B,0))=$D$2,"---",INDEX(仕訳帳!I:I,MATCH(C49,仕訳帳!B:B,0))),"")</f>
        <v/>
      </c>
      <c r="E49" s="67" t="str">
        <f>IF(C49&lt;&gt;"",IF(INDEX(仕訳帳!I:I,MATCH(C49,仕訳帳!B:B,0))=$D$2,"-",INDEX(仕訳帳!E:E,MATCH(C49,仕訳帳!B:B,0))),"")</f>
        <v/>
      </c>
      <c r="F49" s="66" t="str">
        <f>IF(C49&lt;&gt;"",IF(INDEX(仕訳帳!J:J,MATCH(C49,仕訳帳!B:B,0))=$D$2,"---",INDEX(仕訳帳!J:J,MATCH(C49,仕訳帳!B:B,0))),"")</f>
        <v/>
      </c>
      <c r="G49" s="67" t="str">
        <f>IF(C49&lt;&gt;"",IF(INDEX(仕訳帳!J:J,MATCH(C49,仕訳帳!B:B,0))=$D$2,"-",INDEX(仕訳帳!H:H,MATCH(C49,仕訳帳!B:B,0))),"")</f>
        <v/>
      </c>
      <c r="H49" s="68" t="str">
        <f t="shared" si="6"/>
        <v/>
      </c>
      <c r="I49" s="68" t="str">
        <f t="shared" si="7"/>
        <v/>
      </c>
      <c r="J49" s="68" t="str">
        <f t="shared" si="8"/>
        <v/>
      </c>
      <c r="K49" s="69" t="str">
        <f>IF(C49&lt;&gt;"",IF(INDEX(仕訳帳!F:F,MATCH(C49,仕訳帳!B:B,0))="","",INDEX(仕訳帳!F:F,MATCH(C49,仕訳帳!B:B,0))),"")</f>
        <v/>
      </c>
      <c r="L49" s="69" t="str">
        <f>IF(C49&lt;&gt;"",IF(INDEX(仕訳帳!K:K,MATCH(C49,仕訳帳!B:B,0))="","",INDEX(仕訳帳!K:K,MATCH(C49,仕訳帳!B:B,0))),"")</f>
        <v/>
      </c>
    </row>
    <row r="50" spans="2:12">
      <c r="B50" s="65" t="str">
        <f>IF(C50&lt;&gt;"",INDEX(仕訳帳!C:C,MATCH(C50,仕訳帳!B:B,0)),"")</f>
        <v/>
      </c>
      <c r="C50" s="66" t="str">
        <f t="array" ref="C50">IF($D$2="","",IFERROR(INDEX(仕訳帳!B:B,MATCH(SMALL(IF((仕訳帳!I:I=$D$2)+(仕訳帳!J:J=$D$2),仕訳帳!C:C*10000+ROW(仕訳帳!C:C)),ROW(A46)),仕訳帳!C:C*10000+ROW(仕訳帳!C:C),0)),""))</f>
        <v/>
      </c>
      <c r="D50" s="66" t="str">
        <f>IF(C50&lt;&gt;"",IF(INDEX(仕訳帳!I:I,MATCH(C50,仕訳帳!B:B,0))=$D$2,"---",INDEX(仕訳帳!I:I,MATCH(C50,仕訳帳!B:B,0))),"")</f>
        <v/>
      </c>
      <c r="E50" s="67" t="str">
        <f>IF(C50&lt;&gt;"",IF(INDEX(仕訳帳!I:I,MATCH(C50,仕訳帳!B:B,0))=$D$2,"-",INDEX(仕訳帳!E:E,MATCH(C50,仕訳帳!B:B,0))),"")</f>
        <v/>
      </c>
      <c r="F50" s="66" t="str">
        <f>IF(C50&lt;&gt;"",IF(INDEX(仕訳帳!J:J,MATCH(C50,仕訳帳!B:B,0))=$D$2,"---",INDEX(仕訳帳!J:J,MATCH(C50,仕訳帳!B:B,0))),"")</f>
        <v/>
      </c>
      <c r="G50" s="67" t="str">
        <f>IF(C50&lt;&gt;"",IF(INDEX(仕訳帳!J:J,MATCH(C50,仕訳帳!B:B,0))=$D$2,"-",INDEX(仕訳帳!H:H,MATCH(C50,仕訳帳!B:B,0))),"")</f>
        <v/>
      </c>
      <c r="H50" s="68" t="str">
        <f t="shared" si="6"/>
        <v/>
      </c>
      <c r="I50" s="68" t="str">
        <f t="shared" si="7"/>
        <v/>
      </c>
      <c r="J50" s="68" t="str">
        <f t="shared" si="8"/>
        <v/>
      </c>
      <c r="K50" s="69" t="str">
        <f>IF(C50&lt;&gt;"",IF(INDEX(仕訳帳!F:F,MATCH(C50,仕訳帳!B:B,0))="","",INDEX(仕訳帳!F:F,MATCH(C50,仕訳帳!B:B,0))),"")</f>
        <v/>
      </c>
      <c r="L50" s="69" t="str">
        <f>IF(C50&lt;&gt;"",IF(INDEX(仕訳帳!K:K,MATCH(C50,仕訳帳!B:B,0))="","",INDEX(仕訳帳!K:K,MATCH(C50,仕訳帳!B:B,0))),"")</f>
        <v/>
      </c>
    </row>
    <row r="51" spans="2:12">
      <c r="B51" s="65" t="str">
        <f>IF(C51&lt;&gt;"",INDEX(仕訳帳!C:C,MATCH(C51,仕訳帳!B:B,0)),"")</f>
        <v/>
      </c>
      <c r="C51" s="66" t="str">
        <f t="array" ref="C51">IF($D$2="","",IFERROR(INDEX(仕訳帳!B:B,MATCH(SMALL(IF((仕訳帳!I:I=$D$2)+(仕訳帳!J:J=$D$2),仕訳帳!C:C*10000+ROW(仕訳帳!C:C)),ROW(A47)),仕訳帳!C:C*10000+ROW(仕訳帳!C:C),0)),""))</f>
        <v/>
      </c>
      <c r="D51" s="66" t="str">
        <f>IF(C51&lt;&gt;"",IF(INDEX(仕訳帳!I:I,MATCH(C51,仕訳帳!B:B,0))=$D$2,"---",INDEX(仕訳帳!I:I,MATCH(C51,仕訳帳!B:B,0))),"")</f>
        <v/>
      </c>
      <c r="E51" s="67" t="str">
        <f>IF(C51&lt;&gt;"",IF(INDEX(仕訳帳!I:I,MATCH(C51,仕訳帳!B:B,0))=$D$2,"-",INDEX(仕訳帳!E:E,MATCH(C51,仕訳帳!B:B,0))),"")</f>
        <v/>
      </c>
      <c r="F51" s="66" t="str">
        <f>IF(C51&lt;&gt;"",IF(INDEX(仕訳帳!J:J,MATCH(C51,仕訳帳!B:B,0))=$D$2,"---",INDEX(仕訳帳!J:J,MATCH(C51,仕訳帳!B:B,0))),"")</f>
        <v/>
      </c>
      <c r="G51" s="67" t="str">
        <f>IF(C51&lt;&gt;"",IF(INDEX(仕訳帳!J:J,MATCH(C51,仕訳帳!B:B,0))=$D$2,"-",INDEX(仕訳帳!H:H,MATCH(C51,仕訳帳!B:B,0))),"")</f>
        <v/>
      </c>
      <c r="H51" s="68" t="str">
        <f t="shared" si="6"/>
        <v/>
      </c>
      <c r="I51" s="68" t="str">
        <f t="shared" si="7"/>
        <v/>
      </c>
      <c r="J51" s="68" t="str">
        <f t="shared" si="8"/>
        <v/>
      </c>
      <c r="K51" s="69" t="str">
        <f>IF(C51&lt;&gt;"",IF(INDEX(仕訳帳!F:F,MATCH(C51,仕訳帳!B:B,0))="","",INDEX(仕訳帳!F:F,MATCH(C51,仕訳帳!B:B,0))),"")</f>
        <v/>
      </c>
      <c r="L51" s="69" t="str">
        <f>IF(C51&lt;&gt;"",IF(INDEX(仕訳帳!K:K,MATCH(C51,仕訳帳!B:B,0))="","",INDEX(仕訳帳!K:K,MATCH(C51,仕訳帳!B:B,0))),"")</f>
        <v/>
      </c>
    </row>
    <row r="52" spans="2:12">
      <c r="B52" s="65" t="str">
        <f>IF(C52&lt;&gt;"",INDEX(仕訳帳!C:C,MATCH(C52,仕訳帳!B:B,0)),"")</f>
        <v/>
      </c>
      <c r="C52" s="66" t="str">
        <f t="array" ref="C52">IF($D$2="","",IFERROR(INDEX(仕訳帳!B:B,MATCH(SMALL(IF((仕訳帳!I:I=$D$2)+(仕訳帳!J:J=$D$2),仕訳帳!C:C*10000+ROW(仕訳帳!C:C)),ROW(A48)),仕訳帳!C:C*10000+ROW(仕訳帳!C:C),0)),""))</f>
        <v/>
      </c>
      <c r="D52" s="66" t="str">
        <f>IF(C52&lt;&gt;"",IF(INDEX(仕訳帳!I:I,MATCH(C52,仕訳帳!B:B,0))=$D$2,"---",INDEX(仕訳帳!I:I,MATCH(C52,仕訳帳!B:B,0))),"")</f>
        <v/>
      </c>
      <c r="E52" s="67" t="str">
        <f>IF(C52&lt;&gt;"",IF(INDEX(仕訳帳!I:I,MATCH(C52,仕訳帳!B:B,0))=$D$2,"-",INDEX(仕訳帳!E:E,MATCH(C52,仕訳帳!B:B,0))),"")</f>
        <v/>
      </c>
      <c r="F52" s="66" t="str">
        <f>IF(C52&lt;&gt;"",IF(INDEX(仕訳帳!J:J,MATCH(C52,仕訳帳!B:B,0))=$D$2,"---",INDEX(仕訳帳!J:J,MATCH(C52,仕訳帳!B:B,0))),"")</f>
        <v/>
      </c>
      <c r="G52" s="67" t="str">
        <f>IF(C52&lt;&gt;"",IF(INDEX(仕訳帳!J:J,MATCH(C52,仕訳帳!B:B,0))=$D$2,"-",INDEX(仕訳帳!H:H,MATCH(C52,仕訳帳!B:B,0))),"")</f>
        <v/>
      </c>
      <c r="H52" s="68" t="str">
        <f t="shared" si="6"/>
        <v/>
      </c>
      <c r="I52" s="68" t="str">
        <f t="shared" si="7"/>
        <v/>
      </c>
      <c r="J52" s="68" t="str">
        <f t="shared" si="8"/>
        <v/>
      </c>
      <c r="K52" s="69" t="str">
        <f>IF(C52&lt;&gt;"",IF(INDEX(仕訳帳!F:F,MATCH(C52,仕訳帳!B:B,0))="","",INDEX(仕訳帳!F:F,MATCH(C52,仕訳帳!B:B,0))),"")</f>
        <v/>
      </c>
      <c r="L52" s="69" t="str">
        <f>IF(C52&lt;&gt;"",IF(INDEX(仕訳帳!K:K,MATCH(C52,仕訳帳!B:B,0))="","",INDEX(仕訳帳!K:K,MATCH(C52,仕訳帳!B:B,0))),"")</f>
        <v/>
      </c>
    </row>
    <row r="53" spans="2:12">
      <c r="B53" s="65" t="str">
        <f>IF(C53&lt;&gt;"",INDEX(仕訳帳!C:C,MATCH(C53,仕訳帳!B:B,0)),"")</f>
        <v/>
      </c>
      <c r="C53" s="66" t="str">
        <f t="array" ref="C53">IF($D$2="","",IFERROR(INDEX(仕訳帳!B:B,MATCH(SMALL(IF((仕訳帳!I:I=$D$2)+(仕訳帳!J:J=$D$2),仕訳帳!C:C*10000+ROW(仕訳帳!C:C)),ROW(A49)),仕訳帳!C:C*10000+ROW(仕訳帳!C:C),0)),""))</f>
        <v/>
      </c>
      <c r="D53" s="66" t="str">
        <f>IF(C53&lt;&gt;"",IF(INDEX(仕訳帳!I:I,MATCH(C53,仕訳帳!B:B,0))=$D$2,"---",INDEX(仕訳帳!I:I,MATCH(C53,仕訳帳!B:B,0))),"")</f>
        <v/>
      </c>
      <c r="E53" s="67" t="str">
        <f>IF(C53&lt;&gt;"",IF(INDEX(仕訳帳!I:I,MATCH(C53,仕訳帳!B:B,0))=$D$2,"-",INDEX(仕訳帳!E:E,MATCH(C53,仕訳帳!B:B,0))),"")</f>
        <v/>
      </c>
      <c r="F53" s="66" t="str">
        <f>IF(C53&lt;&gt;"",IF(INDEX(仕訳帳!J:J,MATCH(C53,仕訳帳!B:B,0))=$D$2,"---",INDEX(仕訳帳!J:J,MATCH(C53,仕訳帳!B:B,0))),"")</f>
        <v/>
      </c>
      <c r="G53" s="67" t="str">
        <f>IF(C53&lt;&gt;"",IF(INDEX(仕訳帳!J:J,MATCH(C53,仕訳帳!B:B,0))=$D$2,"-",INDEX(仕訳帳!H:H,MATCH(C53,仕訳帳!B:B,0))),"")</f>
        <v/>
      </c>
      <c r="H53" s="68" t="str">
        <f t="shared" si="6"/>
        <v/>
      </c>
      <c r="I53" s="68" t="str">
        <f t="shared" si="7"/>
        <v/>
      </c>
      <c r="J53" s="68" t="str">
        <f t="shared" si="8"/>
        <v/>
      </c>
      <c r="K53" s="69" t="str">
        <f>IF(C53&lt;&gt;"",IF(INDEX(仕訳帳!F:F,MATCH(C53,仕訳帳!B:B,0))="","",INDEX(仕訳帳!F:F,MATCH(C53,仕訳帳!B:B,0))),"")</f>
        <v/>
      </c>
      <c r="L53" s="69" t="str">
        <f>IF(C53&lt;&gt;"",IF(INDEX(仕訳帳!K:K,MATCH(C53,仕訳帳!B:B,0))="","",INDEX(仕訳帳!K:K,MATCH(C53,仕訳帳!B:B,0))),"")</f>
        <v/>
      </c>
    </row>
    <row r="54" spans="2:12">
      <c r="B54" s="65" t="str">
        <f>IF(C54&lt;&gt;"",INDEX(仕訳帳!C:C,MATCH(C54,仕訳帳!B:B,0)),"")</f>
        <v/>
      </c>
      <c r="C54" s="66" t="str">
        <f t="array" ref="C54">IF($D$2="","",IFERROR(INDEX(仕訳帳!B:B,MATCH(SMALL(IF((仕訳帳!I:I=$D$2)+(仕訳帳!J:J=$D$2),仕訳帳!C:C*10000+ROW(仕訳帳!C:C)),ROW(A50)),仕訳帳!C:C*10000+ROW(仕訳帳!C:C),0)),""))</f>
        <v/>
      </c>
      <c r="D54" s="66" t="str">
        <f>IF(C54&lt;&gt;"",IF(INDEX(仕訳帳!I:I,MATCH(C54,仕訳帳!B:B,0))=$D$2,"---",INDEX(仕訳帳!I:I,MATCH(C54,仕訳帳!B:B,0))),"")</f>
        <v/>
      </c>
      <c r="E54" s="67" t="str">
        <f>IF(C54&lt;&gt;"",IF(INDEX(仕訳帳!I:I,MATCH(C54,仕訳帳!B:B,0))=$D$2,"-",INDEX(仕訳帳!E:E,MATCH(C54,仕訳帳!B:B,0))),"")</f>
        <v/>
      </c>
      <c r="F54" s="66" t="str">
        <f>IF(C54&lt;&gt;"",IF(INDEX(仕訳帳!J:J,MATCH(C54,仕訳帳!B:B,0))=$D$2,"---",INDEX(仕訳帳!J:J,MATCH(C54,仕訳帳!B:B,0))),"")</f>
        <v/>
      </c>
      <c r="G54" s="67" t="str">
        <f>IF(C54&lt;&gt;"",IF(INDEX(仕訳帳!J:J,MATCH(C54,仕訳帳!B:B,0))=$D$2,"-",INDEX(仕訳帳!H:H,MATCH(C54,仕訳帳!B:B,0))),"")</f>
        <v/>
      </c>
      <c r="H54" s="68" t="str">
        <f t="shared" si="6"/>
        <v/>
      </c>
      <c r="I54" s="68" t="str">
        <f t="shared" si="7"/>
        <v/>
      </c>
      <c r="J54" s="68" t="str">
        <f t="shared" si="8"/>
        <v/>
      </c>
      <c r="K54" s="69" t="str">
        <f>IF(C54&lt;&gt;"",IF(INDEX(仕訳帳!F:F,MATCH(C54,仕訳帳!B:B,0))="","",INDEX(仕訳帳!F:F,MATCH(C54,仕訳帳!B:B,0))),"")</f>
        <v/>
      </c>
      <c r="L54" s="69" t="str">
        <f>IF(C54&lt;&gt;"",IF(INDEX(仕訳帳!K:K,MATCH(C54,仕訳帳!B:B,0))="","",INDEX(仕訳帳!K:K,MATCH(C54,仕訳帳!B:B,0))),"")</f>
        <v/>
      </c>
    </row>
    <row r="55" spans="2:12">
      <c r="B55" s="65" t="str">
        <f>IF(C55&lt;&gt;"",INDEX(仕訳帳!C:C,MATCH(C55,仕訳帳!B:B,0)),"")</f>
        <v/>
      </c>
      <c r="C55" s="66" t="str">
        <f t="array" ref="C55">IF($D$2="","",IFERROR(INDEX(仕訳帳!B:B,MATCH(SMALL(IF((仕訳帳!I:I=$D$2)+(仕訳帳!J:J=$D$2),仕訳帳!C:C*10000+ROW(仕訳帳!C:C)),ROW(A51)),仕訳帳!C:C*10000+ROW(仕訳帳!C:C),0)),""))</f>
        <v/>
      </c>
      <c r="D55" s="66" t="str">
        <f>IF(C55&lt;&gt;"",IF(INDEX(仕訳帳!I:I,MATCH(C55,仕訳帳!B:B,0))=$D$2,"---",INDEX(仕訳帳!I:I,MATCH(C55,仕訳帳!B:B,0))),"")</f>
        <v/>
      </c>
      <c r="E55" s="67" t="str">
        <f>IF(C55&lt;&gt;"",IF(INDEX(仕訳帳!I:I,MATCH(C55,仕訳帳!B:B,0))=$D$2,"-",INDEX(仕訳帳!E:E,MATCH(C55,仕訳帳!B:B,0))),"")</f>
        <v/>
      </c>
      <c r="F55" s="66" t="str">
        <f>IF(C55&lt;&gt;"",IF(INDEX(仕訳帳!J:J,MATCH(C55,仕訳帳!B:B,0))=$D$2,"---",INDEX(仕訳帳!J:J,MATCH(C55,仕訳帳!B:B,0))),"")</f>
        <v/>
      </c>
      <c r="G55" s="67" t="str">
        <f>IF(C55&lt;&gt;"",IF(INDEX(仕訳帳!J:J,MATCH(C55,仕訳帳!B:B,0))=$D$2,"-",INDEX(仕訳帳!H:H,MATCH(C55,仕訳帳!B:B,0))),"")</f>
        <v/>
      </c>
      <c r="H55" s="68" t="str">
        <f t="shared" si="6"/>
        <v/>
      </c>
      <c r="I55" s="68" t="str">
        <f t="shared" si="7"/>
        <v/>
      </c>
      <c r="J55" s="68" t="str">
        <f t="shared" si="8"/>
        <v/>
      </c>
      <c r="K55" s="69" t="str">
        <f>IF(C55&lt;&gt;"",IF(INDEX(仕訳帳!F:F,MATCH(C55,仕訳帳!B:B,0))="","",INDEX(仕訳帳!F:F,MATCH(C55,仕訳帳!B:B,0))),"")</f>
        <v/>
      </c>
      <c r="L55" s="69" t="str">
        <f>IF(C55&lt;&gt;"",IF(INDEX(仕訳帳!K:K,MATCH(C55,仕訳帳!B:B,0))="","",INDEX(仕訳帳!K:K,MATCH(C55,仕訳帳!B:B,0))),"")</f>
        <v/>
      </c>
    </row>
    <row r="56" spans="2:12">
      <c r="B56" s="65" t="str">
        <f>IF(C56&lt;&gt;"",INDEX(仕訳帳!C:C,MATCH(C56,仕訳帳!B:B,0)),"")</f>
        <v/>
      </c>
      <c r="C56" s="66" t="str">
        <f t="array" ref="C56">IF($D$2="","",IFERROR(INDEX(仕訳帳!B:B,MATCH(SMALL(IF((仕訳帳!I:I=$D$2)+(仕訳帳!J:J=$D$2),仕訳帳!C:C*10000+ROW(仕訳帳!C:C)),ROW(A52)),仕訳帳!C:C*10000+ROW(仕訳帳!C:C),0)),""))</f>
        <v/>
      </c>
      <c r="D56" s="66" t="str">
        <f>IF(C56&lt;&gt;"",IF(INDEX(仕訳帳!I:I,MATCH(C56,仕訳帳!B:B,0))=$D$2,"---",INDEX(仕訳帳!I:I,MATCH(C56,仕訳帳!B:B,0))),"")</f>
        <v/>
      </c>
      <c r="E56" s="67" t="str">
        <f>IF(C56&lt;&gt;"",IF(INDEX(仕訳帳!I:I,MATCH(C56,仕訳帳!B:B,0))=$D$2,"-",INDEX(仕訳帳!E:E,MATCH(C56,仕訳帳!B:B,0))),"")</f>
        <v/>
      </c>
      <c r="F56" s="66" t="str">
        <f>IF(C56&lt;&gt;"",IF(INDEX(仕訳帳!J:J,MATCH(C56,仕訳帳!B:B,0))=$D$2,"---",INDEX(仕訳帳!J:J,MATCH(C56,仕訳帳!B:B,0))),"")</f>
        <v/>
      </c>
      <c r="G56" s="67" t="str">
        <f>IF(C56&lt;&gt;"",IF(INDEX(仕訳帳!J:J,MATCH(C56,仕訳帳!B:B,0))=$D$2,"-",INDEX(仕訳帳!H:H,MATCH(C56,仕訳帳!B:B,0))),"")</f>
        <v/>
      </c>
      <c r="H56" s="68" t="str">
        <f t="shared" ref="H56:H62" si="9">IF(B56="","",SUM(H55,IF(E56="-",0,-E56)+IF(G56="-",0,G56)))</f>
        <v/>
      </c>
      <c r="I56" s="68" t="str">
        <f t="shared" ref="I56:I62" si="10">IF(C56="","",IF(ROW()=5,0,I55)+IF(E56="-",0,IF(E56="",0,E56)))</f>
        <v/>
      </c>
      <c r="J56" s="68" t="str">
        <f t="shared" ref="J56:J62" si="11">IF(C56="","",IF(ROW()=5,0,J55)+IF(G56="-",0,IF(G56="",0,G56)))</f>
        <v/>
      </c>
      <c r="K56" s="69" t="str">
        <f>IF(C56&lt;&gt;"",IF(INDEX(仕訳帳!F:F,MATCH(C56,仕訳帳!B:B,0))="","",INDEX(仕訳帳!F:F,MATCH(C56,仕訳帳!B:B,0))),"")</f>
        <v/>
      </c>
      <c r="L56" s="69" t="str">
        <f>IF(C56&lt;&gt;"",IF(INDEX(仕訳帳!K:K,MATCH(C56,仕訳帳!B:B,0))="","",INDEX(仕訳帳!K:K,MATCH(C56,仕訳帳!B:B,0))),"")</f>
        <v/>
      </c>
    </row>
    <row r="57" spans="2:12">
      <c r="B57" s="65" t="str">
        <f>IF(C57&lt;&gt;"",INDEX(仕訳帳!C:C,MATCH(C57,仕訳帳!B:B,0)),"")</f>
        <v/>
      </c>
      <c r="C57" s="66" t="str">
        <f t="array" ref="C57">IF($D$2="","",IFERROR(INDEX(仕訳帳!B:B,MATCH(SMALL(IF((仕訳帳!I:I=$D$2)+(仕訳帳!J:J=$D$2),仕訳帳!C:C*10000+ROW(仕訳帳!C:C)),ROW(A53)),仕訳帳!C:C*10000+ROW(仕訳帳!C:C),0)),""))</f>
        <v/>
      </c>
      <c r="D57" s="66" t="str">
        <f>IF(C57&lt;&gt;"",IF(INDEX(仕訳帳!I:I,MATCH(C57,仕訳帳!B:B,0))=$D$2,"---",INDEX(仕訳帳!I:I,MATCH(C57,仕訳帳!B:B,0))),"")</f>
        <v/>
      </c>
      <c r="E57" s="67" t="str">
        <f>IF(C57&lt;&gt;"",IF(INDEX(仕訳帳!I:I,MATCH(C57,仕訳帳!B:B,0))=$D$2,"-",INDEX(仕訳帳!E:E,MATCH(C57,仕訳帳!B:B,0))),"")</f>
        <v/>
      </c>
      <c r="F57" s="66" t="str">
        <f>IF(C57&lt;&gt;"",IF(INDEX(仕訳帳!J:J,MATCH(C57,仕訳帳!B:B,0))=$D$2,"---",INDEX(仕訳帳!J:J,MATCH(C57,仕訳帳!B:B,0))),"")</f>
        <v/>
      </c>
      <c r="G57" s="67" t="str">
        <f>IF(C57&lt;&gt;"",IF(INDEX(仕訳帳!J:J,MATCH(C57,仕訳帳!B:B,0))=$D$2,"-",INDEX(仕訳帳!H:H,MATCH(C57,仕訳帳!B:B,0))),"")</f>
        <v/>
      </c>
      <c r="H57" s="68" t="str">
        <f t="shared" si="9"/>
        <v/>
      </c>
      <c r="I57" s="68" t="str">
        <f t="shared" si="10"/>
        <v/>
      </c>
      <c r="J57" s="68" t="str">
        <f t="shared" si="11"/>
        <v/>
      </c>
      <c r="K57" s="69" t="str">
        <f>IF(C57&lt;&gt;"",IF(INDEX(仕訳帳!F:F,MATCH(C57,仕訳帳!B:B,0))="","",INDEX(仕訳帳!F:F,MATCH(C57,仕訳帳!B:B,0))),"")</f>
        <v/>
      </c>
      <c r="L57" s="69" t="str">
        <f>IF(C57&lt;&gt;"",IF(INDEX(仕訳帳!K:K,MATCH(C57,仕訳帳!B:B,0))="","",INDEX(仕訳帳!K:K,MATCH(C57,仕訳帳!B:B,0))),"")</f>
        <v/>
      </c>
    </row>
    <row r="58" spans="2:12">
      <c r="B58" s="65" t="str">
        <f>IF(C58&lt;&gt;"",INDEX(仕訳帳!C:C,MATCH(C58,仕訳帳!B:B,0)),"")</f>
        <v/>
      </c>
      <c r="C58" s="66" t="str">
        <f t="array" ref="C58">IF($D$2="","",IFERROR(INDEX(仕訳帳!B:B,MATCH(SMALL(IF((仕訳帳!I:I=$D$2)+(仕訳帳!J:J=$D$2),仕訳帳!C:C*10000+ROW(仕訳帳!C:C)),ROW(A54)),仕訳帳!C:C*10000+ROW(仕訳帳!C:C),0)),""))</f>
        <v/>
      </c>
      <c r="D58" s="66" t="str">
        <f>IF(C58&lt;&gt;"",IF(INDEX(仕訳帳!I:I,MATCH(C58,仕訳帳!B:B,0))=$D$2,"---",INDEX(仕訳帳!I:I,MATCH(C58,仕訳帳!B:B,0))),"")</f>
        <v/>
      </c>
      <c r="E58" s="67" t="str">
        <f>IF(C58&lt;&gt;"",IF(INDEX(仕訳帳!I:I,MATCH(C58,仕訳帳!B:B,0))=$D$2,"-",INDEX(仕訳帳!E:E,MATCH(C58,仕訳帳!B:B,0))),"")</f>
        <v/>
      </c>
      <c r="F58" s="66" t="str">
        <f>IF(C58&lt;&gt;"",IF(INDEX(仕訳帳!J:J,MATCH(C58,仕訳帳!B:B,0))=$D$2,"---",INDEX(仕訳帳!J:J,MATCH(C58,仕訳帳!B:B,0))),"")</f>
        <v/>
      </c>
      <c r="G58" s="67" t="str">
        <f>IF(C58&lt;&gt;"",IF(INDEX(仕訳帳!J:J,MATCH(C58,仕訳帳!B:B,0))=$D$2,"-",INDEX(仕訳帳!H:H,MATCH(C58,仕訳帳!B:B,0))),"")</f>
        <v/>
      </c>
      <c r="H58" s="68" t="str">
        <f t="shared" si="9"/>
        <v/>
      </c>
      <c r="I58" s="68" t="str">
        <f t="shared" si="10"/>
        <v/>
      </c>
      <c r="J58" s="68" t="str">
        <f t="shared" si="11"/>
        <v/>
      </c>
      <c r="K58" s="69" t="str">
        <f>IF(C58&lt;&gt;"",IF(INDEX(仕訳帳!F:F,MATCH(C58,仕訳帳!B:B,0))="","",INDEX(仕訳帳!F:F,MATCH(C58,仕訳帳!B:B,0))),"")</f>
        <v/>
      </c>
      <c r="L58" s="69" t="str">
        <f>IF(C58&lt;&gt;"",IF(INDEX(仕訳帳!K:K,MATCH(C58,仕訳帳!B:B,0))="","",INDEX(仕訳帳!K:K,MATCH(C58,仕訳帳!B:B,0))),"")</f>
        <v/>
      </c>
    </row>
    <row r="59" spans="2:12">
      <c r="B59" s="65" t="str">
        <f>IF(C59&lt;&gt;"",INDEX(仕訳帳!C:C,MATCH(C59,仕訳帳!B:B,0)),"")</f>
        <v/>
      </c>
      <c r="C59" s="66" t="str">
        <f t="array" ref="C59">IF($D$2="","",IFERROR(INDEX(仕訳帳!B:B,MATCH(SMALL(IF((仕訳帳!I:I=$D$2)+(仕訳帳!J:J=$D$2),仕訳帳!C:C*10000+ROW(仕訳帳!C:C)),ROW(A55)),仕訳帳!C:C*10000+ROW(仕訳帳!C:C),0)),""))</f>
        <v/>
      </c>
      <c r="D59" s="66" t="str">
        <f>IF(C59&lt;&gt;"",IF(INDEX(仕訳帳!I:I,MATCH(C59,仕訳帳!B:B,0))=$D$2,"---",INDEX(仕訳帳!I:I,MATCH(C59,仕訳帳!B:B,0))),"")</f>
        <v/>
      </c>
      <c r="E59" s="67" t="str">
        <f>IF(C59&lt;&gt;"",IF(INDEX(仕訳帳!I:I,MATCH(C59,仕訳帳!B:B,0))=$D$2,"-",INDEX(仕訳帳!E:E,MATCH(C59,仕訳帳!B:B,0))),"")</f>
        <v/>
      </c>
      <c r="F59" s="66" t="str">
        <f>IF(C59&lt;&gt;"",IF(INDEX(仕訳帳!J:J,MATCH(C59,仕訳帳!B:B,0))=$D$2,"---",INDEX(仕訳帳!J:J,MATCH(C59,仕訳帳!B:B,0))),"")</f>
        <v/>
      </c>
      <c r="G59" s="67" t="str">
        <f>IF(C59&lt;&gt;"",IF(INDEX(仕訳帳!J:J,MATCH(C59,仕訳帳!B:B,0))=$D$2,"-",INDEX(仕訳帳!H:H,MATCH(C59,仕訳帳!B:B,0))),"")</f>
        <v/>
      </c>
      <c r="H59" s="68" t="str">
        <f t="shared" si="9"/>
        <v/>
      </c>
      <c r="I59" s="68" t="str">
        <f t="shared" si="10"/>
        <v/>
      </c>
      <c r="J59" s="68" t="str">
        <f t="shared" si="11"/>
        <v/>
      </c>
      <c r="K59" s="69" t="str">
        <f>IF(C59&lt;&gt;"",IF(INDEX(仕訳帳!F:F,MATCH(C59,仕訳帳!B:B,0))="","",INDEX(仕訳帳!F:F,MATCH(C59,仕訳帳!B:B,0))),"")</f>
        <v/>
      </c>
      <c r="L59" s="69" t="str">
        <f>IF(C59&lt;&gt;"",IF(INDEX(仕訳帳!K:K,MATCH(C59,仕訳帳!B:B,0))="","",INDEX(仕訳帳!K:K,MATCH(C59,仕訳帳!B:B,0))),"")</f>
        <v/>
      </c>
    </row>
    <row r="60" spans="2:12">
      <c r="B60" s="65" t="str">
        <f>IF(C60&lt;&gt;"",INDEX(仕訳帳!C:C,MATCH(C60,仕訳帳!B:B,0)),"")</f>
        <v/>
      </c>
      <c r="C60" s="66" t="str">
        <f t="array" ref="C60">IF($D$2="","",IFERROR(INDEX(仕訳帳!B:B,MATCH(SMALL(IF((仕訳帳!I:I=$D$2)+(仕訳帳!J:J=$D$2),仕訳帳!C:C*10000+ROW(仕訳帳!C:C)),ROW(A56)),仕訳帳!C:C*10000+ROW(仕訳帳!C:C),0)),""))</f>
        <v/>
      </c>
      <c r="D60" s="66" t="str">
        <f>IF(C60&lt;&gt;"",IF(INDEX(仕訳帳!I:I,MATCH(C60,仕訳帳!B:B,0))=$D$2,"---",INDEX(仕訳帳!I:I,MATCH(C60,仕訳帳!B:B,0))),"")</f>
        <v/>
      </c>
      <c r="E60" s="67" t="str">
        <f>IF(C60&lt;&gt;"",IF(INDEX(仕訳帳!I:I,MATCH(C60,仕訳帳!B:B,0))=$D$2,"-",INDEX(仕訳帳!E:E,MATCH(C60,仕訳帳!B:B,0))),"")</f>
        <v/>
      </c>
      <c r="F60" s="66" t="str">
        <f>IF(C60&lt;&gt;"",IF(INDEX(仕訳帳!J:J,MATCH(C60,仕訳帳!B:B,0))=$D$2,"---",INDEX(仕訳帳!J:J,MATCH(C60,仕訳帳!B:B,0))),"")</f>
        <v/>
      </c>
      <c r="G60" s="67" t="str">
        <f>IF(C60&lt;&gt;"",IF(INDEX(仕訳帳!J:J,MATCH(C60,仕訳帳!B:B,0))=$D$2,"-",INDEX(仕訳帳!H:H,MATCH(C60,仕訳帳!B:B,0))),"")</f>
        <v/>
      </c>
      <c r="H60" s="68" t="str">
        <f t="shared" si="9"/>
        <v/>
      </c>
      <c r="I60" s="68" t="str">
        <f t="shared" si="10"/>
        <v/>
      </c>
      <c r="J60" s="68" t="str">
        <f t="shared" si="11"/>
        <v/>
      </c>
      <c r="K60" s="69" t="str">
        <f>IF(C60&lt;&gt;"",IF(INDEX(仕訳帳!F:F,MATCH(C60,仕訳帳!B:B,0))="","",INDEX(仕訳帳!F:F,MATCH(C60,仕訳帳!B:B,0))),"")</f>
        <v/>
      </c>
      <c r="L60" s="69" t="str">
        <f>IF(C60&lt;&gt;"",IF(INDEX(仕訳帳!K:K,MATCH(C60,仕訳帳!B:B,0))="","",INDEX(仕訳帳!K:K,MATCH(C60,仕訳帳!B:B,0))),"")</f>
        <v/>
      </c>
    </row>
    <row r="61" spans="2:12">
      <c r="B61" s="65" t="str">
        <f>IF(C61&lt;&gt;"",INDEX(仕訳帳!C:C,MATCH(C61,仕訳帳!B:B,0)),"")</f>
        <v/>
      </c>
      <c r="C61" s="66" t="str">
        <f t="array" ref="C61">IF($D$2="","",IFERROR(INDEX(仕訳帳!B:B,MATCH(SMALL(IF((仕訳帳!I:I=$D$2)+(仕訳帳!J:J=$D$2),仕訳帳!C:C*10000+ROW(仕訳帳!C:C)),ROW(A57)),仕訳帳!C:C*10000+ROW(仕訳帳!C:C),0)),""))</f>
        <v/>
      </c>
      <c r="D61" s="66" t="str">
        <f>IF(C61&lt;&gt;"",IF(INDEX(仕訳帳!I:I,MATCH(C61,仕訳帳!B:B,0))=$D$2,"---",INDEX(仕訳帳!I:I,MATCH(C61,仕訳帳!B:B,0))),"")</f>
        <v/>
      </c>
      <c r="E61" s="67" t="str">
        <f>IF(C61&lt;&gt;"",IF(INDEX(仕訳帳!I:I,MATCH(C61,仕訳帳!B:B,0))=$D$2,"-",INDEX(仕訳帳!E:E,MATCH(C61,仕訳帳!B:B,0))),"")</f>
        <v/>
      </c>
      <c r="F61" s="66" t="str">
        <f>IF(C61&lt;&gt;"",IF(INDEX(仕訳帳!J:J,MATCH(C61,仕訳帳!B:B,0))=$D$2,"---",INDEX(仕訳帳!J:J,MATCH(C61,仕訳帳!B:B,0))),"")</f>
        <v/>
      </c>
      <c r="G61" s="67" t="str">
        <f>IF(C61&lt;&gt;"",IF(INDEX(仕訳帳!J:J,MATCH(C61,仕訳帳!B:B,0))=$D$2,"-",INDEX(仕訳帳!H:H,MATCH(C61,仕訳帳!B:B,0))),"")</f>
        <v/>
      </c>
      <c r="H61" s="68" t="str">
        <f t="shared" si="9"/>
        <v/>
      </c>
      <c r="I61" s="68" t="str">
        <f t="shared" si="10"/>
        <v/>
      </c>
      <c r="J61" s="68" t="str">
        <f t="shared" si="11"/>
        <v/>
      </c>
      <c r="K61" s="69" t="str">
        <f>IF(C61&lt;&gt;"",IF(INDEX(仕訳帳!F:F,MATCH(C61,仕訳帳!B:B,0))="","",INDEX(仕訳帳!F:F,MATCH(C61,仕訳帳!B:B,0))),"")</f>
        <v/>
      </c>
      <c r="L61" s="69" t="str">
        <f>IF(C61&lt;&gt;"",IF(INDEX(仕訳帳!K:K,MATCH(C61,仕訳帳!B:B,0))="","",INDEX(仕訳帳!K:K,MATCH(C61,仕訳帳!B:B,0))),"")</f>
        <v/>
      </c>
    </row>
    <row r="62" spans="2:12">
      <c r="B62" s="65" t="str">
        <f>IF(C62&lt;&gt;"",INDEX(仕訳帳!C:C,MATCH(C62,仕訳帳!B:B,0)),"")</f>
        <v/>
      </c>
      <c r="C62" s="66" t="str">
        <f t="array" ref="C62">IF($D$2="","",IFERROR(INDEX(仕訳帳!B:B,MATCH(SMALL(IF((仕訳帳!I:I=$D$2)+(仕訳帳!J:J=$D$2),仕訳帳!C:C*10000+ROW(仕訳帳!C:C)),ROW(A58)),仕訳帳!C:C*10000+ROW(仕訳帳!C:C),0)),""))</f>
        <v/>
      </c>
      <c r="D62" s="66" t="str">
        <f>IF(C62&lt;&gt;"",IF(INDEX(仕訳帳!I:I,MATCH(C62,仕訳帳!B:B,0))=$D$2,"---",INDEX(仕訳帳!I:I,MATCH(C62,仕訳帳!B:B,0))),"")</f>
        <v/>
      </c>
      <c r="E62" s="67" t="str">
        <f>IF(C62&lt;&gt;"",IF(INDEX(仕訳帳!I:I,MATCH(C62,仕訳帳!B:B,0))=$D$2,"-",INDEX(仕訳帳!E:E,MATCH(C62,仕訳帳!B:B,0))),"")</f>
        <v/>
      </c>
      <c r="F62" s="66" t="str">
        <f>IF(C62&lt;&gt;"",IF(INDEX(仕訳帳!J:J,MATCH(C62,仕訳帳!B:B,0))=$D$2,"---",INDEX(仕訳帳!J:J,MATCH(C62,仕訳帳!B:B,0))),"")</f>
        <v/>
      </c>
      <c r="G62" s="67" t="str">
        <f>IF(C62&lt;&gt;"",IF(INDEX(仕訳帳!J:J,MATCH(C62,仕訳帳!B:B,0))=$D$2,"-",INDEX(仕訳帳!H:H,MATCH(C62,仕訳帳!B:B,0))),"")</f>
        <v/>
      </c>
      <c r="H62" s="68" t="str">
        <f t="shared" si="9"/>
        <v/>
      </c>
      <c r="I62" s="68" t="str">
        <f t="shared" si="10"/>
        <v/>
      </c>
      <c r="J62" s="68" t="str">
        <f t="shared" si="11"/>
        <v/>
      </c>
      <c r="K62" s="69" t="str">
        <f>IF(C62&lt;&gt;"",IF(INDEX(仕訳帳!F:F,MATCH(C62,仕訳帳!B:B,0))="","",INDEX(仕訳帳!F:F,MATCH(C62,仕訳帳!B:B,0))),"")</f>
        <v/>
      </c>
      <c r="L62" s="69" t="str">
        <f>IF(C62&lt;&gt;"",IF(INDEX(仕訳帳!K:K,MATCH(C62,仕訳帳!B:B,0))="","",INDEX(仕訳帳!K:K,MATCH(C62,仕訳帳!B:B,0))),"")</f>
        <v/>
      </c>
    </row>
  </sheetData>
  <dataValidations count="1">
    <dataValidation type="list" allowBlank="1" showInputMessage="1" showErrorMessage="1" sqref="D2">
      <formula1>勘定科目!$C$3:$C$124</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89"/>
  <sheetViews>
    <sheetView zoomScale="85" zoomScaleNormal="85" workbookViewId="0">
      <pane ySplit="2" topLeftCell="A3" activePane="bottomLeft" state="frozen"/>
      <selection/>
      <selection pane="bottomLeft" activeCell="A1" sqref="A1"/>
    </sheetView>
  </sheetViews>
  <sheetFormatPr defaultColWidth="8.88888888888889" defaultRowHeight="19.2"/>
  <cols>
    <col min="1" max="1" width="2.75925925925926" style="3" customWidth="1"/>
    <col min="2" max="2" width="27.3333333333333" style="4" customWidth="1"/>
    <col min="3" max="3" width="27.3333333333333" style="5" customWidth="1"/>
    <col min="4" max="4" width="27.3333333333333" style="4" customWidth="1"/>
    <col min="5" max="6" width="27.3333333333333" style="6" customWidth="1"/>
    <col min="7" max="11" width="8.88888888888889" style="3"/>
    <col min="12" max="12" width="9.88888888888889" style="3"/>
    <col min="13" max="16384" width="8.88888888888889" style="3"/>
  </cols>
  <sheetData>
    <row r="2" spans="2:6">
      <c r="B2" s="7" t="s">
        <v>61</v>
      </c>
      <c r="C2" s="8" t="s">
        <v>11</v>
      </c>
      <c r="D2" s="9" t="s">
        <v>62</v>
      </c>
      <c r="E2" s="10" t="s">
        <v>288</v>
      </c>
      <c r="F2" s="10" t="s">
        <v>289</v>
      </c>
    </row>
    <row r="3" spans="2:6">
      <c r="B3" s="4">
        <v>101</v>
      </c>
      <c r="C3" s="11" t="s">
        <v>94</v>
      </c>
      <c r="D3" s="12" t="s">
        <v>72</v>
      </c>
      <c r="E3" s="13">
        <f>IF(C3="期末商品（製品)棚卸高","-",IF(C3="棚卸資産",SUMPRODUCT((MONTH(仕訳帳!C$4:C$999)=1)*(DAY(仕訳帳!C$4:C$999)=1)*(仕訳帳!I$4:I$999="期首商品（製品)棚卸高")*(仕訳帳!E$4:E$999)),IF(C3="期首商品（製品)棚卸高",SUMPRODUCT((MONTH(仕訳帳!C$4:C$999)=1)*(DAY(仕訳帳!C$4:C$999)=1)*(仕訳帳!I$4:I$999=C3)*(仕訳帳!E$4:E$999)),IF(C3="元入金",-SUMPRODUCT((MONTH(仕訳帳!C$4:C$999)=1)*(DAY(仕訳帳!C$4:C$999)=1)*(仕訳帳!I$4:I$999=C3)*(仕訳帳!E$4:E$999))+SUMPRODUCT((MONTH(仕訳帳!C$4:C$999)=1)*(DAY(仕訳帳!C$4:C$999)=1)*(仕訳帳!J$4:J$999=C3)*(仕訳帳!H$4:H$999)),(IF(OR(D3="負債・資本",D3="収益"),-1,1)*(SUMPRODUCT((MONTH(仕訳帳!C$4:C$999)=1)*(DAY(仕訳帳!C$4:C$999)=1)*(仕訳帳!I$4:I$999=C3)*(仕訳帳!J$4:J$999="元入金")*(仕訳帳!E$4:E$999))-SUMPRODUCT((MONTH(仕訳帳!C$4:C$999)=1)*(DAY(仕訳帳!C$4:C$999)=1)*(仕訳帳!J$4:J$999=C3)*(仕訳帳!I$4:I$999="元入金")*(仕訳帳!H$4:H$999))))))))</f>
        <v>0</v>
      </c>
      <c r="F3" s="13">
        <f>IF(C3="期首商品（製品)棚卸高","-",IF(C3="棚卸資産",SUMPRODUCT((MONTH(仕訳帳!C$4:C$999)=12)*(DAY(仕訳帳!C$4:C$999)=31)*(仕訳帳!J$4:J$999="期末商品（製品)棚卸高")*(仕訳帳!H$4:H$999)),IF(C3="期末商品（製品)棚卸高",SUMPRODUCT((MONTH(仕訳帳!C$4:C$999)=12)*(DAY(仕訳帳!C$4:C$999)=31)*(仕訳帳!J$4:J$999=C3)*(仕訳帳!H$4:H$999)),(IF(OR(D3="負債・資本",D3="収益"),-1,1)*(SUMIF(仕訳帳!I$4:I$999,集計確認・分析!C3,仕訳帳!E$4:E$999)-SUMIF(仕訳帳!J$4:J$999,集計確認・分析!C3,仕訳帳!H$4:H$999))))))</f>
        <v>0</v>
      </c>
    </row>
    <row r="4" spans="2:6">
      <c r="B4" s="4">
        <v>104</v>
      </c>
      <c r="C4" s="11" t="s">
        <v>97</v>
      </c>
      <c r="D4" s="12" t="s">
        <v>72</v>
      </c>
      <c r="E4" s="13">
        <f>IF(C4="期末商品（製品)棚卸高","-",IF(C4="棚卸資産",SUMPRODUCT((MONTH(仕訳帳!C$4:C$999)=1)*(DAY(仕訳帳!C$4:C$999)=1)*(仕訳帳!I$4:I$999="期首商品（製品)棚卸高")*(仕訳帳!E$4:E$999)),IF(C4="期首商品（製品)棚卸高",SUMPRODUCT((MONTH(仕訳帳!C$4:C$999)=1)*(DAY(仕訳帳!C$4:C$999)=1)*(仕訳帳!I$4:I$999=C4)*(仕訳帳!E$4:E$999)),IF(C4="元入金",-SUMPRODUCT((MONTH(仕訳帳!C$4:C$999)=1)*(DAY(仕訳帳!C$4:C$999)=1)*(仕訳帳!I$4:I$999=C4)*(仕訳帳!E$4:E$999))+SUMPRODUCT((MONTH(仕訳帳!C$4:C$999)=1)*(DAY(仕訳帳!C$4:C$999)=1)*(仕訳帳!J$4:J$999=C4)*(仕訳帳!H$4:H$999)),(IF(OR(D4="負債・資本",D4="収益"),-1,1)*(SUMPRODUCT((MONTH(仕訳帳!C$4:C$999)=1)*(DAY(仕訳帳!C$4:C$999)=1)*(仕訳帳!I$4:I$999=C4)*(仕訳帳!J$4:J$999="元入金")*(仕訳帳!E$4:E$999))-SUMPRODUCT((MONTH(仕訳帳!C$4:C$999)=1)*(DAY(仕訳帳!C$4:C$999)=1)*(仕訳帳!J$4:J$999=C4)*(仕訳帳!I$4:I$999="元入金")*(仕訳帳!H$4:H$999))))))))</f>
        <v>0</v>
      </c>
      <c r="F4" s="13">
        <f>IF(C4="期首商品（製品)棚卸高","-",IF(C4="棚卸資産",SUMPRODUCT((MONTH(仕訳帳!C$4:C$999)=12)*(DAY(仕訳帳!C$4:C$999)=31)*(仕訳帳!J$4:J$999="期末商品（製品)棚卸高")*(仕訳帳!H$4:H$999)),IF(C4="期末商品（製品)棚卸高",SUMPRODUCT((MONTH(仕訳帳!C$4:C$999)=12)*(DAY(仕訳帳!C$4:C$999)=31)*(仕訳帳!J$4:J$999=C4)*(仕訳帳!H$4:H$999)),(IF(OR(D4="負債・資本",D4="収益"),-1,1)*(SUMIF(仕訳帳!I$4:I$999,集計確認・分析!C4,仕訳帳!E$4:E$999)-SUMIF(仕訳帳!J$4:J$999,集計確認・分析!C4,仕訳帳!H$4:H$999))))))</f>
        <v>0</v>
      </c>
    </row>
    <row r="5" spans="2:6">
      <c r="B5" s="4">
        <v>106</v>
      </c>
      <c r="C5" s="11" t="s">
        <v>99</v>
      </c>
      <c r="D5" s="12" t="s">
        <v>72</v>
      </c>
      <c r="E5" s="13">
        <f>IF(C5="期末商品（製品)棚卸高","-",IF(C5="棚卸資産",SUMPRODUCT((MONTH(仕訳帳!C$4:C$999)=1)*(DAY(仕訳帳!C$4:C$999)=1)*(仕訳帳!I$4:I$999="期首商品（製品)棚卸高")*(仕訳帳!E$4:E$999)),IF(C5="期首商品（製品)棚卸高",SUMPRODUCT((MONTH(仕訳帳!C$4:C$999)=1)*(DAY(仕訳帳!C$4:C$999)=1)*(仕訳帳!I$4:I$999=C5)*(仕訳帳!E$4:E$999)),IF(C5="元入金",-SUMPRODUCT((MONTH(仕訳帳!C$4:C$999)=1)*(DAY(仕訳帳!C$4:C$999)=1)*(仕訳帳!I$4:I$999=C5)*(仕訳帳!E$4:E$999))+SUMPRODUCT((MONTH(仕訳帳!C$4:C$999)=1)*(DAY(仕訳帳!C$4:C$999)=1)*(仕訳帳!J$4:J$999=C5)*(仕訳帳!H$4:H$999)),(IF(OR(D5="負債・資本",D5="収益"),-1,1)*(SUMPRODUCT((MONTH(仕訳帳!C$4:C$999)=1)*(DAY(仕訳帳!C$4:C$999)=1)*(仕訳帳!I$4:I$999=C5)*(仕訳帳!J$4:J$999="元入金")*(仕訳帳!E$4:E$999))-SUMPRODUCT((MONTH(仕訳帳!C$4:C$999)=1)*(DAY(仕訳帳!C$4:C$999)=1)*(仕訳帳!J$4:J$999=C5)*(仕訳帳!I$4:I$999="元入金")*(仕訳帳!H$4:H$999))))))))</f>
        <v>0</v>
      </c>
      <c r="F5" s="13">
        <f>IF(C5="期首商品（製品)棚卸高","-",IF(C5="棚卸資産",SUMPRODUCT((MONTH(仕訳帳!C$4:C$999)=12)*(DAY(仕訳帳!C$4:C$999)=31)*(仕訳帳!J$4:J$999="期末商品（製品)棚卸高")*(仕訳帳!H$4:H$999)),IF(C5="期末商品（製品)棚卸高",SUMPRODUCT((MONTH(仕訳帳!C$4:C$999)=12)*(DAY(仕訳帳!C$4:C$999)=31)*(仕訳帳!J$4:J$999=C5)*(仕訳帳!H$4:H$999)),(IF(OR(D5="負債・資本",D5="収益"),-1,1)*(SUMIF(仕訳帳!I$4:I$999,集計確認・分析!C5,仕訳帳!E$4:E$999)-SUMIF(仕訳帳!J$4:J$999,集計確認・分析!C5,仕訳帳!H$4:H$999))))))</f>
        <v>0</v>
      </c>
    </row>
    <row r="6" spans="2:6">
      <c r="B6" s="14"/>
      <c r="C6" s="15"/>
      <c r="D6" s="12"/>
      <c r="E6" s="13">
        <f>IF(C6="期末商品（製品)棚卸高","-",IF(C6="棚卸資産",SUMPRODUCT((MONTH(仕訳帳!C$4:C$999)=1)*(DAY(仕訳帳!C$4:C$999)=1)*(仕訳帳!I$4:I$999="期首商品（製品)棚卸高")*(仕訳帳!E$4:E$999)),IF(C6="期首商品（製品)棚卸高",SUMPRODUCT((MONTH(仕訳帳!C$4:C$999)=1)*(DAY(仕訳帳!C$4:C$999)=1)*(仕訳帳!I$4:I$999=C6)*(仕訳帳!E$4:E$999)),IF(C6="元入金",-SUMPRODUCT((MONTH(仕訳帳!C$4:C$999)=1)*(DAY(仕訳帳!C$4:C$999)=1)*(仕訳帳!I$4:I$999=C6)*(仕訳帳!E$4:E$999))+SUMPRODUCT((MONTH(仕訳帳!C$4:C$999)=1)*(DAY(仕訳帳!C$4:C$999)=1)*(仕訳帳!J$4:J$999=C6)*(仕訳帳!H$4:H$999)),(IF(OR(D6="負債・資本",D6="収益"),-1,1)*(SUMPRODUCT((MONTH(仕訳帳!C$4:C$999)=1)*(DAY(仕訳帳!C$4:C$999)=1)*(仕訳帳!I$4:I$999=C6)*(仕訳帳!J$4:J$999="元入金")*(仕訳帳!E$4:E$999))-SUMPRODUCT((MONTH(仕訳帳!C$4:C$999)=1)*(DAY(仕訳帳!C$4:C$999)=1)*(仕訳帳!J$4:J$999=C6)*(仕訳帳!I$4:I$999="元入金")*(仕訳帳!H$4:H$999))))))))</f>
        <v>0</v>
      </c>
      <c r="F6" s="13">
        <f>IF(C6="期首商品（製品)棚卸高","-",IF(C6="棚卸資産",SUMPRODUCT((MONTH(仕訳帳!C$4:C$999)=12)*(DAY(仕訳帳!C$4:C$999)=31)*(仕訳帳!J$4:J$999="期末商品（製品)棚卸高")*(仕訳帳!H$4:H$999)),IF(C6="期末商品（製品)棚卸高",SUMPRODUCT((MONTH(仕訳帳!C$4:C$999)=12)*(DAY(仕訳帳!C$4:C$999)=31)*(仕訳帳!J$4:J$999=C6)*(仕訳帳!H$4:H$999)),(IF(OR(D6="負債・資本",D6="収益"),-1,1)*(SUMIF(仕訳帳!I$4:I$999,集計確認・分析!C6,仕訳帳!E$4:E$999)-SUMIF(仕訳帳!J$4:J$999,集計確認・分析!C6,仕訳帳!H$4:H$999))))))</f>
        <v>0</v>
      </c>
    </row>
    <row r="7" spans="2:6">
      <c r="B7" s="14"/>
      <c r="C7" s="15"/>
      <c r="D7" s="12"/>
      <c r="E7" s="13">
        <f>IF(C7="期末商品（製品)棚卸高","-",IF(C7="棚卸資産",SUMPRODUCT((MONTH(仕訳帳!C$4:C$999)=1)*(DAY(仕訳帳!C$4:C$999)=1)*(仕訳帳!I$4:I$999="期首商品（製品)棚卸高")*(仕訳帳!E$4:E$999)),IF(C7="期首商品（製品)棚卸高",SUMPRODUCT((MONTH(仕訳帳!C$4:C$999)=1)*(DAY(仕訳帳!C$4:C$999)=1)*(仕訳帳!I$4:I$999=C7)*(仕訳帳!E$4:E$999)),IF(C7="元入金",-SUMPRODUCT((MONTH(仕訳帳!C$4:C$999)=1)*(DAY(仕訳帳!C$4:C$999)=1)*(仕訳帳!I$4:I$999=C7)*(仕訳帳!E$4:E$999))+SUMPRODUCT((MONTH(仕訳帳!C$4:C$999)=1)*(DAY(仕訳帳!C$4:C$999)=1)*(仕訳帳!J$4:J$999=C7)*(仕訳帳!H$4:H$999)),(IF(OR(D7="負債・資本",D7="収益"),-1,1)*(SUMPRODUCT((MONTH(仕訳帳!C$4:C$999)=1)*(DAY(仕訳帳!C$4:C$999)=1)*(仕訳帳!I$4:I$999=C7)*(仕訳帳!J$4:J$999="元入金")*(仕訳帳!E$4:E$999))-SUMPRODUCT((MONTH(仕訳帳!C$4:C$999)=1)*(DAY(仕訳帳!C$4:C$999)=1)*(仕訳帳!J$4:J$999=C7)*(仕訳帳!I$4:I$999="元入金")*(仕訳帳!H$4:H$999))))))))</f>
        <v>0</v>
      </c>
      <c r="F7" s="13">
        <f>IF(C7="期首商品（製品)棚卸高","-",IF(C7="棚卸資産",SUMPRODUCT((MONTH(仕訳帳!C$4:C$999)=12)*(DAY(仕訳帳!C$4:C$999)=31)*(仕訳帳!J$4:J$999="期末商品（製品)棚卸高")*(仕訳帳!H$4:H$999)),IF(C7="期末商品（製品)棚卸高",SUMPRODUCT((MONTH(仕訳帳!C$4:C$999)=12)*(DAY(仕訳帳!C$4:C$999)=31)*(仕訳帳!J$4:J$999=C7)*(仕訳帳!H$4:H$999)),(IF(OR(D7="負債・資本",D7="収益"),-1,1)*(SUMIF(仕訳帳!I$4:I$999,集計確認・分析!C7,仕訳帳!E$4:E$999)-SUMIF(仕訳帳!J$4:J$999,集計確認・分析!C7,仕訳帳!H$4:H$999))))))</f>
        <v>0</v>
      </c>
    </row>
    <row r="8" spans="2:6">
      <c r="B8" s="14"/>
      <c r="C8" s="15"/>
      <c r="D8" s="12"/>
      <c r="E8" s="13">
        <f>IF(C8="期末商品（製品)棚卸高","-",IF(C8="棚卸資産",SUMPRODUCT((MONTH(仕訳帳!C$4:C$999)=1)*(DAY(仕訳帳!C$4:C$999)=1)*(仕訳帳!I$4:I$999="期首商品（製品)棚卸高")*(仕訳帳!E$4:E$999)),IF(C8="期首商品（製品)棚卸高",SUMPRODUCT((MONTH(仕訳帳!C$4:C$999)=1)*(DAY(仕訳帳!C$4:C$999)=1)*(仕訳帳!I$4:I$999=C8)*(仕訳帳!E$4:E$999)),IF(C8="元入金",-SUMPRODUCT((MONTH(仕訳帳!C$4:C$999)=1)*(DAY(仕訳帳!C$4:C$999)=1)*(仕訳帳!I$4:I$999=C8)*(仕訳帳!E$4:E$999))+SUMPRODUCT((MONTH(仕訳帳!C$4:C$999)=1)*(DAY(仕訳帳!C$4:C$999)=1)*(仕訳帳!J$4:J$999=C8)*(仕訳帳!H$4:H$999)),(IF(OR(D8="負債・資本",D8="収益"),-1,1)*(SUMPRODUCT((MONTH(仕訳帳!C$4:C$999)=1)*(DAY(仕訳帳!C$4:C$999)=1)*(仕訳帳!I$4:I$999=C8)*(仕訳帳!J$4:J$999="元入金")*(仕訳帳!E$4:E$999))-SUMPRODUCT((MONTH(仕訳帳!C$4:C$999)=1)*(DAY(仕訳帳!C$4:C$999)=1)*(仕訳帳!J$4:J$999=C8)*(仕訳帳!I$4:I$999="元入金")*(仕訳帳!H$4:H$999))))))))</f>
        <v>0</v>
      </c>
      <c r="F8" s="13">
        <f>IF(C8="期首商品（製品)棚卸高","-",IF(C8="棚卸資産",SUMPRODUCT((MONTH(仕訳帳!C$4:C$999)=12)*(DAY(仕訳帳!C$4:C$999)=31)*(仕訳帳!J$4:J$999="期末商品（製品)棚卸高")*(仕訳帳!H$4:H$999)),IF(C8="期末商品（製品)棚卸高",SUMPRODUCT((MONTH(仕訳帳!C$4:C$999)=12)*(DAY(仕訳帳!C$4:C$999)=31)*(仕訳帳!J$4:J$999=C8)*(仕訳帳!H$4:H$999)),(IF(OR(D8="負債・資本",D8="収益"),-1,1)*(SUMIF(仕訳帳!I$4:I$999,集計確認・分析!C8,仕訳帳!E$4:E$999)-SUMIF(仕訳帳!J$4:J$999,集計確認・分析!C8,仕訳帳!H$4:H$999))))))</f>
        <v>0</v>
      </c>
    </row>
    <row r="9" spans="2:6">
      <c r="B9" s="16">
        <v>123</v>
      </c>
      <c r="C9" s="11" t="s">
        <v>110</v>
      </c>
      <c r="D9" s="12" t="s">
        <v>72</v>
      </c>
      <c r="E9" s="13">
        <f>IF(C9="期末商品（製品)棚卸高","-",IF(C9="棚卸資産",SUMPRODUCT((MONTH(仕訳帳!C$4:C$999)=1)*(DAY(仕訳帳!C$4:C$999)=1)*(仕訳帳!I$4:I$999="期首商品（製品)棚卸高")*(仕訳帳!E$4:E$999)),IF(C9="期首商品（製品)棚卸高",SUMPRODUCT((MONTH(仕訳帳!C$4:C$999)=1)*(DAY(仕訳帳!C$4:C$999)=1)*(仕訳帳!I$4:I$999=C9)*(仕訳帳!E$4:E$999)),IF(C9="元入金",-SUMPRODUCT((MONTH(仕訳帳!C$4:C$999)=1)*(DAY(仕訳帳!C$4:C$999)=1)*(仕訳帳!I$4:I$999=C9)*(仕訳帳!E$4:E$999))+SUMPRODUCT((MONTH(仕訳帳!C$4:C$999)=1)*(DAY(仕訳帳!C$4:C$999)=1)*(仕訳帳!J$4:J$999=C9)*(仕訳帳!H$4:H$999)),(IF(OR(D9="負債・資本",D9="収益"),-1,1)*(SUMPRODUCT((MONTH(仕訳帳!C$4:C$999)=1)*(DAY(仕訳帳!C$4:C$999)=1)*(仕訳帳!I$4:I$999=C9)*(仕訳帳!J$4:J$999="元入金")*(仕訳帳!E$4:E$999))-SUMPRODUCT((MONTH(仕訳帳!C$4:C$999)=1)*(DAY(仕訳帳!C$4:C$999)=1)*(仕訳帳!J$4:J$999=C9)*(仕訳帳!I$4:I$999="元入金")*(仕訳帳!H$4:H$999))))))))</f>
        <v>0</v>
      </c>
      <c r="F9" s="13">
        <f>IF(C9="期首商品（製品)棚卸高","-",IF(C9="棚卸資産",SUMPRODUCT((MONTH(仕訳帳!C$4:C$999)=12)*(DAY(仕訳帳!C$4:C$999)=31)*(仕訳帳!J$4:J$999="期末商品（製品)棚卸高")*(仕訳帳!H$4:H$999)),IF(C9="期末商品（製品)棚卸高",SUMPRODUCT((MONTH(仕訳帳!C$4:C$999)=12)*(DAY(仕訳帳!C$4:C$999)=31)*(仕訳帳!J$4:J$999=C9)*(仕訳帳!H$4:H$999)),(IF(OR(D9="負債・資本",D9="収益"),-1,1)*(SUMIF(仕訳帳!I$4:I$999,集計確認・分析!C9,仕訳帳!E$4:E$999)-SUMIF(仕訳帳!J$4:J$999,集計確認・分析!C9,仕訳帳!H$4:H$999))))))</f>
        <v>0</v>
      </c>
    </row>
    <row r="10" spans="2:6">
      <c r="B10" s="17">
        <v>2</v>
      </c>
      <c r="C10" s="18" t="s">
        <v>65</v>
      </c>
      <c r="D10" s="19" t="s">
        <v>72</v>
      </c>
      <c r="E10" s="20">
        <f>IF(C10="期末商品（製品)棚卸高","-",IF(C10="棚卸資産",SUMPRODUCT((MONTH(仕訳帳!C$4:C$999)=1)*(DAY(仕訳帳!C$4:C$999)=1)*(仕訳帳!I$4:I$999="期首商品（製品)棚卸高")*(仕訳帳!E$4:E$999)),IF(C10="期首商品（製品)棚卸高",SUMPRODUCT((MONTH(仕訳帳!C$4:C$999)=1)*(DAY(仕訳帳!C$4:C$999)=1)*(仕訳帳!I$4:I$999=C10)*(仕訳帳!E$4:E$999)),IF(C10="元入金",-SUMPRODUCT((MONTH(仕訳帳!C$4:C$999)=1)*(DAY(仕訳帳!C$4:C$999)=1)*(仕訳帳!I$4:I$999=C10)*(仕訳帳!E$4:E$999))+SUMPRODUCT((MONTH(仕訳帳!C$4:C$999)=1)*(DAY(仕訳帳!C$4:C$999)=1)*(仕訳帳!J$4:J$999=C10)*(仕訳帳!H$4:H$999)),(IF(OR(D10="負債・資本",D10="収益"),-1,1)*(SUMPRODUCT((MONTH(仕訳帳!C$4:C$999)=1)*(DAY(仕訳帳!C$4:C$999)=1)*(仕訳帳!I$4:I$999=C10)*(仕訳帳!J$4:J$999="元入金")*(仕訳帳!E$4:E$999))-SUMPRODUCT((MONTH(仕訳帳!C$4:C$999)=1)*(DAY(仕訳帳!C$4:C$999)=1)*(仕訳帳!J$4:J$999=C10)*(仕訳帳!I$4:I$999="元入金")*(仕訳帳!H$4:H$999))))))))</f>
        <v>0</v>
      </c>
      <c r="F10" s="21" t="str">
        <f>IF(C10="期首商品（製品)棚卸高","-",IF(C10="棚卸資産",SUMPRODUCT((MONTH(仕訳帳!C$4:C$999)=12)*(DAY(仕訳帳!C$4:C$999)=31)*(仕訳帳!J$4:J$999="期末商品（製品)棚卸高")*(仕訳帳!H$4:H$999)),IF(C10="期末商品（製品)棚卸高",SUMPRODUCT((MONTH(仕訳帳!C$4:C$999)=12)*(DAY(仕訳帳!C$4:C$999)=31)*(仕訳帳!J$4:J$999=C10)*(仕訳帳!H$4:H$999)),(IF(OR(D10="負債・資本",D10="収益"),-1,1)*(SUMIF(仕訳帳!I$4:I$999,集計確認・分析!C10,仕訳帳!E$4:E$999)-SUMIF(仕訳帳!J$4:J$999,集計確認・分析!C10,仕訳帳!H$4:H$999))))))</f>
        <v>-</v>
      </c>
    </row>
    <row r="11" spans="2:6">
      <c r="B11" s="22">
        <v>5</v>
      </c>
      <c r="C11" s="23" t="s">
        <v>69</v>
      </c>
      <c r="D11" s="12" t="s">
        <v>72</v>
      </c>
      <c r="E11" s="24" t="str">
        <f>IF(C11="期末商品（製品)棚卸高","-",IF(C11="棚卸資産",SUMPRODUCT((MONTH(仕訳帳!C$4:C$999)=1)*(DAY(仕訳帳!C$4:C$999)=1)*(仕訳帳!I$4:I$999="期首商品（製品)棚卸高")*(仕訳帳!E$4:E$999)),IF(C11="期首商品（製品)棚卸高",SUMPRODUCT((MONTH(仕訳帳!C$4:C$999)=1)*(DAY(仕訳帳!C$4:C$999)=1)*(仕訳帳!I$4:I$999=C11)*(仕訳帳!E$4:E$999)),IF(C11="元入金",-SUMPRODUCT((MONTH(仕訳帳!C$4:C$999)=1)*(DAY(仕訳帳!C$4:C$999)=1)*(仕訳帳!I$4:I$999=C11)*(仕訳帳!E$4:E$999))+SUMPRODUCT((MONTH(仕訳帳!C$4:C$999)=1)*(DAY(仕訳帳!C$4:C$999)=1)*(仕訳帳!J$4:J$999=C11)*(仕訳帳!H$4:H$999)),(IF(OR(D11="負債・資本",D11="収益"),-1,1)*(SUMPRODUCT((MONTH(仕訳帳!C$4:C$999)=1)*(DAY(仕訳帳!C$4:C$999)=1)*(仕訳帳!I$4:I$999=C11)*(仕訳帳!J$4:J$999="元入金")*(仕訳帳!E$4:E$999))-SUMPRODUCT((MONTH(仕訳帳!C$4:C$999)=1)*(DAY(仕訳帳!C$4:C$999)=1)*(仕訳帳!J$4:J$999=C11)*(仕訳帳!I$4:I$999="元入金")*(仕訳帳!H$4:H$999))))))))</f>
        <v>-</v>
      </c>
      <c r="F11" s="25">
        <f>IF(C11="期首商品（製品)棚卸高","-",IF(C11="棚卸資産",SUMPRODUCT((MONTH(仕訳帳!C$4:C$999)=12)*(DAY(仕訳帳!C$4:C$999)=31)*(仕訳帳!J$4:J$999="期末商品（製品)棚卸高")*(仕訳帳!H$4:H$999)),IF(C11="期末商品（製品)棚卸高",SUMPRODUCT((MONTH(仕訳帳!C$4:C$999)=12)*(DAY(仕訳帳!C$4:C$999)=31)*(仕訳帳!J$4:J$999=C11)*(仕訳帳!H$4:H$999)),(IF(OR(D11="負債・資本",D11="収益"),-1,1)*(SUMIF(仕訳帳!I$4:I$999,集計確認・分析!C11,仕訳帳!E$4:E$999)-SUMIF(仕訳帳!J$4:J$999,集計確認・分析!C11,仕訳帳!H$4:H$999))))))</f>
        <v>0</v>
      </c>
    </row>
    <row r="12" spans="2:6">
      <c r="B12" s="22">
        <v>108</v>
      </c>
      <c r="C12" s="23" t="s">
        <v>101</v>
      </c>
      <c r="D12" s="12" t="s">
        <v>72</v>
      </c>
      <c r="E12" s="24">
        <f>IF(C12="期末商品（製品)棚卸高","-",IF(C12="棚卸資産",SUMPRODUCT((MONTH(仕訳帳!C$4:C$999)=1)*(DAY(仕訳帳!C$4:C$999)=1)*(仕訳帳!I$4:I$999="期首商品（製品)棚卸高")*(仕訳帳!E$4:E$999)),IF(C12="期首商品（製品)棚卸高",SUMPRODUCT((MONTH(仕訳帳!C$4:C$999)=1)*(DAY(仕訳帳!C$4:C$999)=1)*(仕訳帳!I$4:I$999=C12)*(仕訳帳!E$4:E$999)),IF(C12="元入金",-SUMPRODUCT((MONTH(仕訳帳!C$4:C$999)=1)*(DAY(仕訳帳!C$4:C$999)=1)*(仕訳帳!I$4:I$999=C12)*(仕訳帳!E$4:E$999))+SUMPRODUCT((MONTH(仕訳帳!C$4:C$999)=1)*(DAY(仕訳帳!C$4:C$999)=1)*(仕訳帳!J$4:J$999=C12)*(仕訳帳!H$4:H$999)),(IF(OR(D12="負債・資本",D12="収益"),-1,1)*(SUMPRODUCT((MONTH(仕訳帳!C$4:C$999)=1)*(DAY(仕訳帳!C$4:C$999)=1)*(仕訳帳!I$4:I$999=C12)*(仕訳帳!J$4:J$999="元入金")*(仕訳帳!E$4:E$999))-SUMPRODUCT((MONTH(仕訳帳!C$4:C$999)=1)*(DAY(仕訳帳!C$4:C$999)=1)*(仕訳帳!J$4:J$999=C12)*(仕訳帳!I$4:I$999="元入金")*(仕訳帳!H$4:H$999))))))))</f>
        <v>0</v>
      </c>
      <c r="F12" s="25">
        <f>IF(C12="期首商品（製品)棚卸高","-",IF(C12="棚卸資産",SUMPRODUCT((MONTH(仕訳帳!C$4:C$999)=12)*(DAY(仕訳帳!C$4:C$999)=31)*(仕訳帳!J$4:J$999="期末商品（製品)棚卸高")*(仕訳帳!H$4:H$999)),IF(C12="期末商品（製品)棚卸高",SUMPRODUCT((MONTH(仕訳帳!C$4:C$999)=12)*(DAY(仕訳帳!C$4:C$999)=31)*(仕訳帳!J$4:J$999=C12)*(仕訳帳!H$4:H$999)),(IF(OR(D12="負債・資本",D12="収益"),-1,1)*(SUMIF(仕訳帳!I$4:I$999,集計確認・分析!C12,仕訳帳!E$4:E$999)-SUMIF(仕訳帳!J$4:J$999,集計確認・分析!C12,仕訳帳!H$4:H$999))))))</f>
        <v>0</v>
      </c>
    </row>
    <row r="13" spans="2:6">
      <c r="B13" s="22"/>
      <c r="C13" s="23"/>
      <c r="D13" s="12"/>
      <c r="E13" s="24">
        <f>IF(C13="期末商品（製品)棚卸高","-",IF(C13="棚卸資産",SUMPRODUCT((MONTH(仕訳帳!C$4:C$999)=1)*(DAY(仕訳帳!C$4:C$999)=1)*(仕訳帳!I$4:I$999="期首商品（製品)棚卸高")*(仕訳帳!E$4:E$999)),IF(C13="期首商品（製品)棚卸高",SUMPRODUCT((MONTH(仕訳帳!C$4:C$999)=1)*(DAY(仕訳帳!C$4:C$999)=1)*(仕訳帳!I$4:I$999=C13)*(仕訳帳!E$4:E$999)),IF(C13="元入金",-SUMPRODUCT((MONTH(仕訳帳!C$4:C$999)=1)*(DAY(仕訳帳!C$4:C$999)=1)*(仕訳帳!I$4:I$999=C13)*(仕訳帳!E$4:E$999))+SUMPRODUCT((MONTH(仕訳帳!C$4:C$999)=1)*(DAY(仕訳帳!C$4:C$999)=1)*(仕訳帳!J$4:J$999=C13)*(仕訳帳!H$4:H$999)),(IF(OR(D13="負債・資本",D13="収益"),-1,1)*(SUMPRODUCT((MONTH(仕訳帳!C$4:C$999)=1)*(DAY(仕訳帳!C$4:C$999)=1)*(仕訳帳!I$4:I$999=C13)*(仕訳帳!J$4:J$999="元入金")*(仕訳帳!E$4:E$999))-SUMPRODUCT((MONTH(仕訳帳!C$4:C$999)=1)*(DAY(仕訳帳!C$4:C$999)=1)*(仕訳帳!J$4:J$999=C13)*(仕訳帳!I$4:I$999="元入金")*(仕訳帳!H$4:H$999))))))))</f>
        <v>0</v>
      </c>
      <c r="F13" s="25">
        <f>IF(C13="期首商品（製品)棚卸高","-",IF(C13="棚卸資産",SUMPRODUCT((MONTH(仕訳帳!C$4:C$999)=12)*(DAY(仕訳帳!C$4:C$999)=31)*(仕訳帳!J$4:J$999="期末商品（製品)棚卸高")*(仕訳帳!H$4:H$999)),IF(C13="期末商品（製品)棚卸高",SUMPRODUCT((MONTH(仕訳帳!C$4:C$999)=12)*(DAY(仕訳帳!C$4:C$999)=31)*(仕訳帳!J$4:J$999=C13)*(仕訳帳!H$4:H$999)),(IF(OR(D13="負債・資本",D13="収益"),-1,1)*(SUMIF(仕訳帳!I$4:I$999,集計確認・分析!C13,仕訳帳!E$4:E$999)-SUMIF(仕訳帳!J$4:J$999,集計確認・分析!C13,仕訳帳!H$4:H$999))))))</f>
        <v>0</v>
      </c>
    </row>
    <row r="14" spans="2:6">
      <c r="B14" s="22">
        <v>124</v>
      </c>
      <c r="C14" s="23" t="s">
        <v>111</v>
      </c>
      <c r="D14" s="12" t="s">
        <v>72</v>
      </c>
      <c r="E14" s="24">
        <f>IF(C14="期末商品（製品)棚卸高","-",IF(C14="棚卸資産",SUMPRODUCT((MONTH(仕訳帳!C$4:C$999)=1)*(DAY(仕訳帳!C$4:C$999)=1)*(仕訳帳!I$4:I$999="期首商品（製品)棚卸高")*(仕訳帳!E$4:E$999)),IF(C14="期首商品（製品)棚卸高",SUMPRODUCT((MONTH(仕訳帳!C$4:C$999)=1)*(DAY(仕訳帳!C$4:C$999)=1)*(仕訳帳!I$4:I$999=C14)*(仕訳帳!E$4:E$999)),IF(C14="元入金",-SUMPRODUCT((MONTH(仕訳帳!C$4:C$999)=1)*(DAY(仕訳帳!C$4:C$999)=1)*(仕訳帳!I$4:I$999=C14)*(仕訳帳!E$4:E$999))+SUMPRODUCT((MONTH(仕訳帳!C$4:C$999)=1)*(DAY(仕訳帳!C$4:C$999)=1)*(仕訳帳!J$4:J$999=C14)*(仕訳帳!H$4:H$999)),(IF(OR(D14="負債・資本",D14="収益"),-1,1)*(SUMPRODUCT((MONTH(仕訳帳!C$4:C$999)=1)*(DAY(仕訳帳!C$4:C$999)=1)*(仕訳帳!I$4:I$999=C14)*(仕訳帳!J$4:J$999="元入金")*(仕訳帳!E$4:E$999))-SUMPRODUCT((MONTH(仕訳帳!C$4:C$999)=1)*(DAY(仕訳帳!C$4:C$999)=1)*(仕訳帳!J$4:J$999=C14)*(仕訳帳!I$4:I$999="元入金")*(仕訳帳!H$4:H$999))))))))</f>
        <v>0</v>
      </c>
      <c r="F14" s="25">
        <f>IF(C14="期首商品（製品)棚卸高","-",IF(C14="棚卸資産",SUMPRODUCT((MONTH(仕訳帳!C$4:C$999)=12)*(DAY(仕訳帳!C$4:C$999)=31)*(仕訳帳!J$4:J$999="期末商品（製品)棚卸高")*(仕訳帳!H$4:H$999)),IF(C14="期末商品（製品)棚卸高",SUMPRODUCT((MONTH(仕訳帳!C$4:C$999)=12)*(DAY(仕訳帳!C$4:C$999)=31)*(仕訳帳!J$4:J$999=C14)*(仕訳帳!H$4:H$999)),(IF(OR(D14="負債・資本",D14="収益"),-1,1)*(SUMIF(仕訳帳!I$4:I$999,集計確認・分析!C14,仕訳帳!E$4:E$999)-SUMIF(仕訳帳!J$4:J$999,集計確認・分析!C14,仕訳帳!H$4:H$999))))))</f>
        <v>0</v>
      </c>
    </row>
    <row r="15" ht="15" customHeight="1" spans="2:6">
      <c r="B15" s="22">
        <v>172</v>
      </c>
      <c r="C15" s="23" t="s">
        <v>123</v>
      </c>
      <c r="D15" s="26" t="s">
        <v>290</v>
      </c>
      <c r="E15" s="24">
        <f>IF(C15="期末商品（製品)棚卸高","-",IF(C15="棚卸資産",SUMPRODUCT((MONTH(仕訳帳!C$4:C$999)=1)*(DAY(仕訳帳!C$4:C$999)=1)*(仕訳帳!I$4:I$999="期首商品（製品)棚卸高")*(仕訳帳!E$4:E$999)),IF(C15="期首商品（製品)棚卸高",SUMPRODUCT((MONTH(仕訳帳!C$4:C$999)=1)*(DAY(仕訳帳!C$4:C$999)=1)*(仕訳帳!I$4:I$999=C15)*(仕訳帳!E$4:E$999)),IF(C15="元入金",-SUMPRODUCT((MONTH(仕訳帳!C$4:C$999)=1)*(DAY(仕訳帳!C$4:C$999)=1)*(仕訳帳!I$4:I$999=C15)*(仕訳帳!E$4:E$999))+SUMPRODUCT((MONTH(仕訳帳!C$4:C$999)=1)*(DAY(仕訳帳!C$4:C$999)=1)*(仕訳帳!J$4:J$999=C15)*(仕訳帳!H$4:H$999)),(IF(OR(D15="負債・資本",D15="収益"),-1,1)*(SUMPRODUCT((MONTH(仕訳帳!C$4:C$999)=1)*(DAY(仕訳帳!C$4:C$999)=1)*(仕訳帳!I$4:I$999=C15)*(仕訳帳!J$4:J$999="元入金")*(仕訳帳!E$4:E$999))-SUMPRODUCT((MONTH(仕訳帳!C$4:C$999)=1)*(DAY(仕訳帳!C$4:C$999)=1)*(仕訳帳!J$4:J$999=C15)*(仕訳帳!I$4:I$999="元入金")*(仕訳帳!H$4:H$999))))))))</f>
        <v>0</v>
      </c>
      <c r="F15" s="25">
        <f>IF(C15="期首商品（製品)棚卸高","-",IF(C15="棚卸資産",SUMPRODUCT((MONTH(仕訳帳!C$4:C$999)=12)*(DAY(仕訳帳!C$4:C$999)=31)*(仕訳帳!J$4:J$999="期末商品（製品)棚卸高")*(仕訳帳!H$4:H$999)),IF(C15="期末商品（製品)棚卸高",SUMPRODUCT((MONTH(仕訳帳!C$4:C$999)=12)*(DAY(仕訳帳!C$4:C$999)=31)*(仕訳帳!J$4:J$999=C15)*(仕訳帳!H$4:H$999)),(IF(OR(D15="負債・資本",D15="収益"),-1,1)*(SUMIF(仕訳帳!I$4:I$999,集計確認・分析!C15,仕訳帳!E$4:E$999)-SUMIF(仕訳帳!J$4:J$999,集計確認・分析!C15,仕訳帳!H$4:H$999))))))</f>
        <v>0</v>
      </c>
    </row>
    <row r="16" spans="2:6">
      <c r="B16" s="27">
        <v>199</v>
      </c>
      <c r="C16" s="28" t="s">
        <v>124</v>
      </c>
      <c r="D16" s="29" t="s">
        <v>290</v>
      </c>
      <c r="E16" s="30">
        <f>IF(C16="期末商品（製品)棚卸高","-",IF(C16="棚卸資産",SUMPRODUCT((MONTH(仕訳帳!C$4:C$999)=1)*(DAY(仕訳帳!C$4:C$999)=1)*(仕訳帳!I$4:I$999="期首商品（製品)棚卸高")*(仕訳帳!E$4:E$999)),IF(C16="期首商品（製品)棚卸高",SUMPRODUCT((MONTH(仕訳帳!C$4:C$999)=1)*(DAY(仕訳帳!C$4:C$999)=1)*(仕訳帳!I$4:I$999=C16)*(仕訳帳!E$4:E$999)),IF(C16="元入金",-SUMPRODUCT((MONTH(仕訳帳!C$4:C$999)=1)*(DAY(仕訳帳!C$4:C$999)=1)*(仕訳帳!I$4:I$999=C16)*(仕訳帳!E$4:E$999))+SUMPRODUCT((MONTH(仕訳帳!C$4:C$999)=1)*(DAY(仕訳帳!C$4:C$999)=1)*(仕訳帳!J$4:J$999=C16)*(仕訳帳!H$4:H$999)),(IF(OR(D16="負債・資本",D16="収益"),-1,1)*(SUMPRODUCT((MONTH(仕訳帳!C$4:C$999)=1)*(DAY(仕訳帳!C$4:C$999)=1)*(仕訳帳!I$4:I$999=C16)*(仕訳帳!J$4:J$999="元入金")*(仕訳帳!E$4:E$999))-SUMPRODUCT((MONTH(仕訳帳!C$4:C$999)=1)*(DAY(仕訳帳!C$4:C$999)=1)*(仕訳帳!J$4:J$999=C16)*(仕訳帳!I$4:I$999="元入金")*(仕訳帳!H$4:H$999))))))))</f>
        <v>0</v>
      </c>
      <c r="F16" s="31">
        <f>IF(C16="期首商品（製品)棚卸高","-",IF(C16="棚卸資産",SUMPRODUCT((MONTH(仕訳帳!C$4:C$999)=12)*(DAY(仕訳帳!C$4:C$999)=31)*(仕訳帳!J$4:J$999="期末商品（製品)棚卸高")*(仕訳帳!H$4:H$999)),IF(C16="期末商品（製品)棚卸高",SUMPRODUCT((MONTH(仕訳帳!C$4:C$999)=12)*(DAY(仕訳帳!C$4:C$999)=31)*(仕訳帳!J$4:J$999=C16)*(仕訳帳!H$4:H$999)),(IF(OR(D16="負債・資本",D16="収益"),-1,1)*(SUMIF(仕訳帳!I$4:I$999,集計確認・分析!C16,仕訳帳!E$4:E$999)-SUMIF(仕訳帳!J$4:J$999,集計確認・分析!C16,仕訳帳!H$4:H$999))))))</f>
        <v>0</v>
      </c>
    </row>
    <row r="17" spans="2:6">
      <c r="B17" s="14"/>
      <c r="C17" s="15"/>
      <c r="D17" s="26"/>
      <c r="E17" s="13">
        <f>IF(C17="期末商品（製品)棚卸高","-",IF(C17="棚卸資産",SUMPRODUCT((MONTH(仕訳帳!C$4:C$999)=1)*(DAY(仕訳帳!C$4:C$999)=1)*(仕訳帳!I$4:I$999="期首商品（製品)棚卸高")*(仕訳帳!E$4:E$999)),IF(C17="期首商品（製品)棚卸高",SUMPRODUCT((MONTH(仕訳帳!C$4:C$999)=1)*(DAY(仕訳帳!C$4:C$999)=1)*(仕訳帳!I$4:I$999=C17)*(仕訳帳!E$4:E$999)),IF(C17="元入金",-SUMPRODUCT((MONTH(仕訳帳!C$4:C$999)=1)*(DAY(仕訳帳!C$4:C$999)=1)*(仕訳帳!I$4:I$999=C17)*(仕訳帳!E$4:E$999))+SUMPRODUCT((MONTH(仕訳帳!C$4:C$999)=1)*(DAY(仕訳帳!C$4:C$999)=1)*(仕訳帳!J$4:J$999=C17)*(仕訳帳!H$4:H$999)),(IF(OR(D17="負債・資本",D17="収益"),-1,1)*(SUMPRODUCT((MONTH(仕訳帳!C$4:C$999)=1)*(DAY(仕訳帳!C$4:C$999)=1)*(仕訳帳!I$4:I$999=C17)*(仕訳帳!J$4:J$999="元入金")*(仕訳帳!E$4:E$999))-SUMPRODUCT((MONTH(仕訳帳!C$4:C$999)=1)*(DAY(仕訳帳!C$4:C$999)=1)*(仕訳帳!J$4:J$999=C17)*(仕訳帳!I$4:I$999="元入金")*(仕訳帳!H$4:H$999))))))))</f>
        <v>0</v>
      </c>
      <c r="F17" s="13">
        <f>IF(C17="期首商品（製品)棚卸高","-",IF(C17="棚卸資産",SUMPRODUCT((MONTH(仕訳帳!C$4:C$999)=12)*(DAY(仕訳帳!C$4:C$999)=31)*(仕訳帳!J$4:J$999="期末商品（製品)棚卸高")*(仕訳帳!H$4:H$999)),IF(C17="期末商品（製品)棚卸高",SUMPRODUCT((MONTH(仕訳帳!C$4:C$999)=12)*(DAY(仕訳帳!C$4:C$999)=31)*(仕訳帳!J$4:J$999=C17)*(仕訳帳!H$4:H$999)),(IF(OR(D17="負債・資本",D17="収益"),-1,1)*(SUMIF(仕訳帳!I$4:I$999,集計確認・分析!C17,仕訳帳!E$4:E$999)-SUMIF(仕訳帳!J$4:J$999,集計確認・分析!C17,仕訳帳!H$4:H$999))))))</f>
        <v>0</v>
      </c>
    </row>
    <row r="18" spans="3:6">
      <c r="C18" s="11"/>
      <c r="D18" s="26"/>
      <c r="E18" s="13">
        <f>IF(C18="期末商品（製品)棚卸高","-",IF(C18="棚卸資産",SUMPRODUCT((MONTH(仕訳帳!C$4:C$999)=1)*(DAY(仕訳帳!C$4:C$999)=1)*(仕訳帳!I$4:I$999="期首商品（製品)棚卸高")*(仕訳帳!E$4:E$999)),IF(C18="期首商品（製品)棚卸高",SUMPRODUCT((MONTH(仕訳帳!C$4:C$999)=1)*(DAY(仕訳帳!C$4:C$999)=1)*(仕訳帳!I$4:I$999=C18)*(仕訳帳!E$4:E$999)),IF(C18="元入金",-SUMPRODUCT((MONTH(仕訳帳!C$4:C$999)=1)*(DAY(仕訳帳!C$4:C$999)=1)*(仕訳帳!I$4:I$999=C18)*(仕訳帳!E$4:E$999))+SUMPRODUCT((MONTH(仕訳帳!C$4:C$999)=1)*(DAY(仕訳帳!C$4:C$999)=1)*(仕訳帳!J$4:J$999=C18)*(仕訳帳!H$4:H$999)),(IF(OR(D18="負債・資本",D18="収益"),-1,1)*(SUMPRODUCT((MONTH(仕訳帳!C$4:C$999)=1)*(DAY(仕訳帳!C$4:C$999)=1)*(仕訳帳!I$4:I$999=C18)*(仕訳帳!J$4:J$999="元入金")*(仕訳帳!E$4:E$999))-SUMPRODUCT((MONTH(仕訳帳!C$4:C$999)=1)*(DAY(仕訳帳!C$4:C$999)=1)*(仕訳帳!J$4:J$999=C18)*(仕訳帳!I$4:I$999="元入金")*(仕訳帳!H$4:H$999))))))))</f>
        <v>0</v>
      </c>
      <c r="F18" s="13">
        <f>IF(C18="期首商品（製品)棚卸高","-",IF(C18="棚卸資産",SUMPRODUCT((MONTH(仕訳帳!C$4:C$999)=12)*(DAY(仕訳帳!C$4:C$999)=31)*(仕訳帳!J$4:J$999="期末商品（製品)棚卸高")*(仕訳帳!H$4:H$999)),IF(C18="期末商品（製品)棚卸高",SUMPRODUCT((MONTH(仕訳帳!C$4:C$999)=12)*(DAY(仕訳帳!C$4:C$999)=31)*(仕訳帳!J$4:J$999=C18)*(仕訳帳!H$4:H$999)),(IF(OR(D18="負債・資本",D18="収益"),-1,1)*(SUMIF(仕訳帳!I$4:I$999,集計確認・分析!C18,仕訳帳!E$4:E$999)-SUMIF(仕訳帳!J$4:J$999,集計確認・分析!C18,仕訳帳!H$4:H$999))))))</f>
        <v>0</v>
      </c>
    </row>
    <row r="19" spans="3:6">
      <c r="C19" s="11"/>
      <c r="D19" s="26"/>
      <c r="E19" s="13">
        <f>IF(C19="期末商品（製品)棚卸高","-",IF(C19="棚卸資産",SUMPRODUCT((MONTH(仕訳帳!C$4:C$999)=1)*(DAY(仕訳帳!C$4:C$999)=1)*(仕訳帳!I$4:I$999="期首商品（製品)棚卸高")*(仕訳帳!E$4:E$999)),IF(C19="期首商品（製品)棚卸高",SUMPRODUCT((MONTH(仕訳帳!C$4:C$999)=1)*(DAY(仕訳帳!C$4:C$999)=1)*(仕訳帳!I$4:I$999=C19)*(仕訳帳!E$4:E$999)),IF(C19="元入金",-SUMPRODUCT((MONTH(仕訳帳!C$4:C$999)=1)*(DAY(仕訳帳!C$4:C$999)=1)*(仕訳帳!I$4:I$999=C19)*(仕訳帳!E$4:E$999))+SUMPRODUCT((MONTH(仕訳帳!C$4:C$999)=1)*(DAY(仕訳帳!C$4:C$999)=1)*(仕訳帳!J$4:J$999=C19)*(仕訳帳!H$4:H$999)),(IF(OR(D19="負債・資本",D19="収益"),-1,1)*(SUMPRODUCT((MONTH(仕訳帳!C$4:C$999)=1)*(DAY(仕訳帳!C$4:C$999)=1)*(仕訳帳!I$4:I$999=C19)*(仕訳帳!J$4:J$999="元入金")*(仕訳帳!E$4:E$999))-SUMPRODUCT((MONTH(仕訳帳!C$4:C$999)=1)*(DAY(仕訳帳!C$4:C$999)=1)*(仕訳帳!J$4:J$999=C19)*(仕訳帳!I$4:I$999="元入金")*(仕訳帳!H$4:H$999))))))))</f>
        <v>0</v>
      </c>
      <c r="F19" s="13">
        <f>IF(C19="期首商品（製品)棚卸高","-",IF(C19="棚卸資産",SUMPRODUCT((MONTH(仕訳帳!C$4:C$999)=12)*(DAY(仕訳帳!C$4:C$999)=31)*(仕訳帳!J$4:J$999="期末商品（製品)棚卸高")*(仕訳帳!H$4:H$999)),IF(C19="期末商品（製品)棚卸高",SUMPRODUCT((MONTH(仕訳帳!C$4:C$999)=12)*(DAY(仕訳帳!C$4:C$999)=31)*(仕訳帳!J$4:J$999=C19)*(仕訳帳!H$4:H$999)),(IF(OR(D19="負債・資本",D19="収益"),-1,1)*(SUMIF(仕訳帳!I$4:I$999,集計確認・分析!C19,仕訳帳!E$4:E$999)-SUMIF(仕訳帳!J$4:J$999,集計確認・分析!C19,仕訳帳!H$4:H$999))))))</f>
        <v>0</v>
      </c>
    </row>
    <row r="20" spans="2:6">
      <c r="B20" s="4">
        <v>1</v>
      </c>
      <c r="C20" s="11" t="s">
        <v>63</v>
      </c>
      <c r="D20" s="32" t="s">
        <v>64</v>
      </c>
      <c r="E20" s="13">
        <f>IF(C20="期末商品（製品)棚卸高","-",IF(C20="棚卸資産",SUMPRODUCT((MONTH(仕訳帳!C$4:C$999)=1)*(DAY(仕訳帳!C$4:C$999)=1)*(仕訳帳!I$4:I$999="期首商品（製品)棚卸高")*(仕訳帳!E$4:E$999)),IF(C20="期首商品（製品)棚卸高",SUMPRODUCT((MONTH(仕訳帳!C$4:C$999)=1)*(DAY(仕訳帳!C$4:C$999)=1)*(仕訳帳!I$4:I$999=C20)*(仕訳帳!E$4:E$999)),IF(C20="元入金",-SUMPRODUCT((MONTH(仕訳帳!C$4:C$999)=1)*(DAY(仕訳帳!C$4:C$999)=1)*(仕訳帳!I$4:I$999=C20)*(仕訳帳!E$4:E$999))+SUMPRODUCT((MONTH(仕訳帳!C$4:C$999)=1)*(DAY(仕訳帳!C$4:C$999)=1)*(仕訳帳!J$4:J$999=C20)*(仕訳帳!H$4:H$999)),(IF(OR(D20="負債・資本",D20="収益"),-1,1)*(SUMPRODUCT((MONTH(仕訳帳!C$4:C$999)=1)*(DAY(仕訳帳!C$4:C$999)=1)*(仕訳帳!I$4:I$999=C20)*(仕訳帳!J$4:J$999="元入金")*(仕訳帳!E$4:E$999))-SUMPRODUCT((MONTH(仕訳帳!C$4:C$999)=1)*(DAY(仕訳帳!C$4:C$999)=1)*(仕訳帳!J$4:J$999=C20)*(仕訳帳!I$4:I$999="元入金")*(仕訳帳!H$4:H$999))))))))</f>
        <v>0</v>
      </c>
      <c r="F20" s="13">
        <f>IF(C20="期首商品（製品)棚卸高","-",IF(C20="棚卸資産",SUMPRODUCT((MONTH(仕訳帳!C$4:C$999)=12)*(DAY(仕訳帳!C$4:C$999)=31)*(仕訳帳!J$4:J$999="期末商品（製品)棚卸高")*(仕訳帳!H$4:H$999)),IF(C20="期末商品（製品)棚卸高",SUMPRODUCT((MONTH(仕訳帳!C$4:C$999)=12)*(DAY(仕訳帳!C$4:C$999)=31)*(仕訳帳!J$4:J$999=C20)*(仕訳帳!H$4:H$999)),(IF(OR(D20="負債・資本",D20="収益"),-1,1)*(SUMIF(仕訳帳!I$4:I$999,集計確認・分析!C20,仕訳帳!E$4:E$999)-SUMIF(仕訳帳!J$4:J$999,集計確認・分析!C20,仕訳帳!H$4:H$999))))))</f>
        <v>0</v>
      </c>
    </row>
    <row r="21" spans="2:6">
      <c r="B21" s="14"/>
      <c r="C21" s="15"/>
      <c r="D21" s="32"/>
      <c r="E21" s="13">
        <f>IF(C21="期末商品（製品)棚卸高","-",IF(C21="棚卸資産",SUMPRODUCT((MONTH(仕訳帳!C$4:C$999)=1)*(DAY(仕訳帳!C$4:C$999)=1)*(仕訳帳!I$4:I$999="期首商品（製品)棚卸高")*(仕訳帳!E$4:E$999)),IF(C21="期首商品（製品)棚卸高",SUMPRODUCT((MONTH(仕訳帳!C$4:C$999)=1)*(DAY(仕訳帳!C$4:C$999)=1)*(仕訳帳!I$4:I$999=C21)*(仕訳帳!E$4:E$999)),IF(C21="元入金",-SUMPRODUCT((MONTH(仕訳帳!C$4:C$999)=1)*(DAY(仕訳帳!C$4:C$999)=1)*(仕訳帳!I$4:I$999=C21)*(仕訳帳!E$4:E$999))+SUMPRODUCT((MONTH(仕訳帳!C$4:C$999)=1)*(DAY(仕訳帳!C$4:C$999)=1)*(仕訳帳!J$4:J$999=C21)*(仕訳帳!H$4:H$999)),(IF(OR(D21="負債・資本",D21="収益"),-1,1)*(SUMPRODUCT((MONTH(仕訳帳!C$4:C$999)=1)*(DAY(仕訳帳!C$4:C$999)=1)*(仕訳帳!I$4:I$999=C21)*(仕訳帳!J$4:J$999="元入金")*(仕訳帳!E$4:E$999))-SUMPRODUCT((MONTH(仕訳帳!C$4:C$999)=1)*(DAY(仕訳帳!C$4:C$999)=1)*(仕訳帳!J$4:J$999=C21)*(仕訳帳!I$4:I$999="元入金")*(仕訳帳!H$4:H$999))))))))</f>
        <v>0</v>
      </c>
      <c r="F21" s="13">
        <f>IF(C21="期首商品（製品)棚卸高","-",IF(C21="棚卸資産",SUMPRODUCT((MONTH(仕訳帳!C$4:C$999)=12)*(DAY(仕訳帳!C$4:C$999)=31)*(仕訳帳!J$4:J$999="期末商品（製品)棚卸高")*(仕訳帳!H$4:H$999)),IF(C21="期末商品（製品)棚卸高",SUMPRODUCT((MONTH(仕訳帳!C$4:C$999)=12)*(DAY(仕訳帳!C$4:C$999)=31)*(仕訳帳!J$4:J$999=C21)*(仕訳帳!H$4:H$999)),(IF(OR(D21="負債・資本",D21="収益"),-1,1)*(SUMIF(仕訳帳!I$4:I$999,集計確認・分析!C21,仕訳帳!E$4:E$999)-SUMIF(仕訳帳!J$4:J$999,集計確認・分析!C21,仕訳帳!H$4:H$999))))))</f>
        <v>0</v>
      </c>
    </row>
    <row r="22" spans="3:6">
      <c r="C22" s="11"/>
      <c r="D22" s="32"/>
      <c r="E22" s="13">
        <f>IF(C22="期末商品（製品)棚卸高","-",IF(C22="棚卸資産",SUMPRODUCT((MONTH(仕訳帳!C$4:C$999)=1)*(DAY(仕訳帳!C$4:C$999)=1)*(仕訳帳!I$4:I$999="期首商品（製品)棚卸高")*(仕訳帳!E$4:E$999)),IF(C22="期首商品（製品)棚卸高",SUMPRODUCT((MONTH(仕訳帳!C$4:C$999)=1)*(DAY(仕訳帳!C$4:C$999)=1)*(仕訳帳!I$4:I$999=C22)*(仕訳帳!E$4:E$999)),IF(C22="元入金",-SUMPRODUCT((MONTH(仕訳帳!C$4:C$999)=1)*(DAY(仕訳帳!C$4:C$999)=1)*(仕訳帳!I$4:I$999=C22)*(仕訳帳!E$4:E$999))+SUMPRODUCT((MONTH(仕訳帳!C$4:C$999)=1)*(DAY(仕訳帳!C$4:C$999)=1)*(仕訳帳!J$4:J$999=C22)*(仕訳帳!H$4:H$999)),(IF(OR(D22="負債・資本",D22="収益"),-1,1)*(SUMPRODUCT((MONTH(仕訳帳!C$4:C$999)=1)*(DAY(仕訳帳!C$4:C$999)=1)*(仕訳帳!I$4:I$999=C22)*(仕訳帳!J$4:J$999="元入金")*(仕訳帳!E$4:E$999))-SUMPRODUCT((MONTH(仕訳帳!C$4:C$999)=1)*(DAY(仕訳帳!C$4:C$999)=1)*(仕訳帳!J$4:J$999=C22)*(仕訳帳!I$4:I$999="元入金")*(仕訳帳!H$4:H$999))))))))</f>
        <v>0</v>
      </c>
      <c r="F22" s="13">
        <f>IF(C22="期首商品（製品)棚卸高","-",IF(C22="棚卸資産",SUMPRODUCT((MONTH(仕訳帳!C$4:C$999)=12)*(DAY(仕訳帳!C$4:C$999)=31)*(仕訳帳!J$4:J$999="期末商品（製品)棚卸高")*(仕訳帳!H$4:H$999)),IF(C22="期末商品（製品)棚卸高",SUMPRODUCT((MONTH(仕訳帳!C$4:C$999)=12)*(DAY(仕訳帳!C$4:C$999)=31)*(仕訳帳!J$4:J$999=C22)*(仕訳帳!H$4:H$999)),(IF(OR(D22="負債・資本",D22="収益"),-1,1)*(SUMIF(仕訳帳!I$4:I$999,集計確認・分析!C22,仕訳帳!E$4:E$999)-SUMIF(仕訳帳!J$4:J$999,集計確認・分析!C22,仕訳帳!H$4:H$999))))))</f>
        <v>0</v>
      </c>
    </row>
    <row r="23" spans="2:6">
      <c r="B23" s="33">
        <v>3</v>
      </c>
      <c r="C23" s="11" t="s">
        <v>67</v>
      </c>
      <c r="D23" s="34" t="s">
        <v>74</v>
      </c>
      <c r="E23" s="13">
        <f>IF(C23="期末商品（製品)棚卸高","-",IF(C23="棚卸資産",SUMPRODUCT((MONTH(仕訳帳!C$4:C$999)=1)*(DAY(仕訳帳!C$4:C$999)=1)*(仕訳帳!I$4:I$999="期首商品（製品)棚卸高")*(仕訳帳!E$4:E$999)),IF(C23="期首商品（製品)棚卸高",SUMPRODUCT((MONTH(仕訳帳!C$4:C$999)=1)*(DAY(仕訳帳!C$4:C$999)=1)*(仕訳帳!I$4:I$999=C23)*(仕訳帳!E$4:E$999)),IF(C23="元入金",-SUMPRODUCT((MONTH(仕訳帳!C$4:C$999)=1)*(DAY(仕訳帳!C$4:C$999)=1)*(仕訳帳!I$4:I$999=C23)*(仕訳帳!E$4:E$999))+SUMPRODUCT((MONTH(仕訳帳!C$4:C$999)=1)*(DAY(仕訳帳!C$4:C$999)=1)*(仕訳帳!J$4:J$999=C23)*(仕訳帳!H$4:H$999)),(IF(OR(D23="負債・資本",D23="収益"),-1,1)*(SUMPRODUCT((MONTH(仕訳帳!C$4:C$999)=1)*(DAY(仕訳帳!C$4:C$999)=1)*(仕訳帳!I$4:I$999=C23)*(仕訳帳!J$4:J$999="元入金")*(仕訳帳!E$4:E$999))-SUMPRODUCT((MONTH(仕訳帳!C$4:C$999)=1)*(DAY(仕訳帳!C$4:C$999)=1)*(仕訳帳!J$4:J$999=C23)*(仕訳帳!I$4:I$999="元入金")*(仕訳帳!H$4:H$999))))))))</f>
        <v>0</v>
      </c>
      <c r="F23" s="13">
        <f>IF(C23="期首商品（製品)棚卸高","-",IF(C23="棚卸資産",SUMPRODUCT((MONTH(仕訳帳!C$4:C$999)=12)*(DAY(仕訳帳!C$4:C$999)=31)*(仕訳帳!J$4:J$999="期末商品（製品)棚卸高")*(仕訳帳!H$4:H$999)),IF(C23="期末商品（製品)棚卸高",SUMPRODUCT((MONTH(仕訳帳!C$4:C$999)=12)*(DAY(仕訳帳!C$4:C$999)=31)*(仕訳帳!J$4:J$999=C23)*(仕訳帳!H$4:H$999)),(IF(OR(D23="負債・資本",D23="収益"),-1,1)*(SUMIF(仕訳帳!I$4:I$999,集計確認・分析!C23,仕訳帳!E$4:E$999)-SUMIF(仕訳帳!J$4:J$999,集計確認・分析!C23,仕訳帳!H$4:H$999))))))</f>
        <v>0</v>
      </c>
    </row>
    <row r="24" spans="2:6">
      <c r="B24" s="33">
        <v>8</v>
      </c>
      <c r="C24" s="11" t="s">
        <v>73</v>
      </c>
      <c r="D24" s="34" t="s">
        <v>74</v>
      </c>
      <c r="E24" s="13">
        <f>IF(C24="期末商品（製品)棚卸高","-",IF(C24="棚卸資産",SUMPRODUCT((MONTH(仕訳帳!C$4:C$999)=1)*(DAY(仕訳帳!C$4:C$999)=1)*(仕訳帳!I$4:I$999="期首商品（製品)棚卸高")*(仕訳帳!E$4:E$999)),IF(C24="期首商品（製品)棚卸高",SUMPRODUCT((MONTH(仕訳帳!C$4:C$999)=1)*(DAY(仕訳帳!C$4:C$999)=1)*(仕訳帳!I$4:I$999=C24)*(仕訳帳!E$4:E$999)),IF(C24="元入金",-SUMPRODUCT((MONTH(仕訳帳!C$4:C$999)=1)*(DAY(仕訳帳!C$4:C$999)=1)*(仕訳帳!I$4:I$999=C24)*(仕訳帳!E$4:E$999))+SUMPRODUCT((MONTH(仕訳帳!C$4:C$999)=1)*(DAY(仕訳帳!C$4:C$999)=1)*(仕訳帳!J$4:J$999=C24)*(仕訳帳!H$4:H$999)),(IF(OR(D24="負債・資本",D24="収益"),-1,1)*(SUMPRODUCT((MONTH(仕訳帳!C$4:C$999)=1)*(DAY(仕訳帳!C$4:C$999)=1)*(仕訳帳!I$4:I$999=C24)*(仕訳帳!J$4:J$999="元入金")*(仕訳帳!E$4:E$999))-SUMPRODUCT((MONTH(仕訳帳!C$4:C$999)=1)*(DAY(仕訳帳!C$4:C$999)=1)*(仕訳帳!J$4:J$999=C24)*(仕訳帳!I$4:I$999="元入金")*(仕訳帳!H$4:H$999))))))))</f>
        <v>0</v>
      </c>
      <c r="F24" s="13">
        <f>IF(C24="期首商品（製品)棚卸高","-",IF(C24="棚卸資産",SUMPRODUCT((MONTH(仕訳帳!C$4:C$999)=12)*(DAY(仕訳帳!C$4:C$999)=31)*(仕訳帳!J$4:J$999="期末商品（製品)棚卸高")*(仕訳帳!H$4:H$999)),IF(C24="期末商品（製品)棚卸高",SUMPRODUCT((MONTH(仕訳帳!C$4:C$999)=12)*(DAY(仕訳帳!C$4:C$999)=31)*(仕訳帳!J$4:J$999=C24)*(仕訳帳!H$4:H$999)),(IF(OR(D24="負債・資本",D24="収益"),-1,1)*(SUMIF(仕訳帳!I$4:I$999,集計確認・分析!C24,仕訳帳!E$4:E$999)-SUMIF(仕訳帳!J$4:J$999,集計確認・分析!C24,仕訳帳!H$4:H$999))))))</f>
        <v>0</v>
      </c>
    </row>
    <row r="25" spans="2:6">
      <c r="B25" s="33">
        <v>9</v>
      </c>
      <c r="C25" s="11" t="s">
        <v>75</v>
      </c>
      <c r="D25" s="34" t="s">
        <v>74</v>
      </c>
      <c r="E25" s="13">
        <f>IF(C25="期末商品（製品)棚卸高","-",IF(C25="棚卸資産",SUMPRODUCT((MONTH(仕訳帳!C$4:C$999)=1)*(DAY(仕訳帳!C$4:C$999)=1)*(仕訳帳!I$4:I$999="期首商品（製品)棚卸高")*(仕訳帳!E$4:E$999)),IF(C25="期首商品（製品)棚卸高",SUMPRODUCT((MONTH(仕訳帳!C$4:C$999)=1)*(DAY(仕訳帳!C$4:C$999)=1)*(仕訳帳!I$4:I$999=C25)*(仕訳帳!E$4:E$999)),IF(C25="元入金",-SUMPRODUCT((MONTH(仕訳帳!C$4:C$999)=1)*(DAY(仕訳帳!C$4:C$999)=1)*(仕訳帳!I$4:I$999=C25)*(仕訳帳!E$4:E$999))+SUMPRODUCT((MONTH(仕訳帳!C$4:C$999)=1)*(DAY(仕訳帳!C$4:C$999)=1)*(仕訳帳!J$4:J$999=C25)*(仕訳帳!H$4:H$999)),(IF(OR(D25="負債・資本",D25="収益"),-1,1)*(SUMPRODUCT((MONTH(仕訳帳!C$4:C$999)=1)*(DAY(仕訳帳!C$4:C$999)=1)*(仕訳帳!I$4:I$999=C25)*(仕訳帳!J$4:J$999="元入金")*(仕訳帳!E$4:E$999))-SUMPRODUCT((MONTH(仕訳帳!C$4:C$999)=1)*(DAY(仕訳帳!C$4:C$999)=1)*(仕訳帳!J$4:J$999=C25)*(仕訳帳!I$4:I$999="元入金")*(仕訳帳!H$4:H$999))))))))</f>
        <v>0</v>
      </c>
      <c r="F25" s="13">
        <f>IF(C25="期首商品（製品)棚卸高","-",IF(C25="棚卸資産",SUMPRODUCT((MONTH(仕訳帳!C$4:C$999)=12)*(DAY(仕訳帳!C$4:C$999)=31)*(仕訳帳!J$4:J$999="期末商品（製品)棚卸高")*(仕訳帳!H$4:H$999)),IF(C25="期末商品（製品)棚卸高",SUMPRODUCT((MONTH(仕訳帳!C$4:C$999)=12)*(DAY(仕訳帳!C$4:C$999)=31)*(仕訳帳!J$4:J$999=C25)*(仕訳帳!H$4:H$999)),(IF(OR(D25="負債・資本",D25="収益"),-1,1)*(SUMIF(仕訳帳!I$4:I$999,集計確認・分析!C25,仕訳帳!E$4:E$999)-SUMIF(仕訳帳!J$4:J$999,集計確認・分析!C25,仕訳帳!H$4:H$999))))))</f>
        <v>0</v>
      </c>
    </row>
    <row r="26" spans="2:6">
      <c r="B26" s="33">
        <v>10</v>
      </c>
      <c r="C26" s="11" t="s">
        <v>76</v>
      </c>
      <c r="D26" s="34" t="s">
        <v>74</v>
      </c>
      <c r="E26" s="13">
        <f>IF(C26="期末商品（製品)棚卸高","-",IF(C26="棚卸資産",SUMPRODUCT((MONTH(仕訳帳!C$4:C$999)=1)*(DAY(仕訳帳!C$4:C$999)=1)*(仕訳帳!I$4:I$999="期首商品（製品)棚卸高")*(仕訳帳!E$4:E$999)),IF(C26="期首商品（製品)棚卸高",SUMPRODUCT((MONTH(仕訳帳!C$4:C$999)=1)*(DAY(仕訳帳!C$4:C$999)=1)*(仕訳帳!I$4:I$999=C26)*(仕訳帳!E$4:E$999)),IF(C26="元入金",-SUMPRODUCT((MONTH(仕訳帳!C$4:C$999)=1)*(DAY(仕訳帳!C$4:C$999)=1)*(仕訳帳!I$4:I$999=C26)*(仕訳帳!E$4:E$999))+SUMPRODUCT((MONTH(仕訳帳!C$4:C$999)=1)*(DAY(仕訳帳!C$4:C$999)=1)*(仕訳帳!J$4:J$999=C26)*(仕訳帳!H$4:H$999)),(IF(OR(D26="負債・資本",D26="収益"),-1,1)*(SUMPRODUCT((MONTH(仕訳帳!C$4:C$999)=1)*(DAY(仕訳帳!C$4:C$999)=1)*(仕訳帳!I$4:I$999=C26)*(仕訳帳!J$4:J$999="元入金")*(仕訳帳!E$4:E$999))-SUMPRODUCT((MONTH(仕訳帳!C$4:C$999)=1)*(DAY(仕訳帳!C$4:C$999)=1)*(仕訳帳!J$4:J$999=C26)*(仕訳帳!I$4:I$999="元入金")*(仕訳帳!H$4:H$999))))))))</f>
        <v>0</v>
      </c>
      <c r="F26" s="13">
        <f>IF(C26="期首商品（製品)棚卸高","-",IF(C26="棚卸資産",SUMPRODUCT((MONTH(仕訳帳!C$4:C$999)=12)*(DAY(仕訳帳!C$4:C$999)=31)*(仕訳帳!J$4:J$999="期末商品（製品)棚卸高")*(仕訳帳!H$4:H$999)),IF(C26="期末商品（製品)棚卸高",SUMPRODUCT((MONTH(仕訳帳!C$4:C$999)=12)*(DAY(仕訳帳!C$4:C$999)=31)*(仕訳帳!J$4:J$999=C26)*(仕訳帳!H$4:H$999)),(IF(OR(D26="負債・資本",D26="収益"),-1,1)*(SUMIF(仕訳帳!I$4:I$999,集計確認・分析!C26,仕訳帳!E$4:E$999)-SUMIF(仕訳帳!J$4:J$999,集計確認・分析!C26,仕訳帳!H$4:H$999))))))</f>
        <v>0</v>
      </c>
    </row>
    <row r="27" spans="2:6">
      <c r="B27" s="33">
        <v>11</v>
      </c>
      <c r="C27" s="11" t="s">
        <v>77</v>
      </c>
      <c r="D27" s="34" t="s">
        <v>74</v>
      </c>
      <c r="E27" s="13">
        <f>IF(C27="期末商品（製品)棚卸高","-",IF(C27="棚卸資産",SUMPRODUCT((MONTH(仕訳帳!C$4:C$999)=1)*(DAY(仕訳帳!C$4:C$999)=1)*(仕訳帳!I$4:I$999="期首商品（製品)棚卸高")*(仕訳帳!E$4:E$999)),IF(C27="期首商品（製品)棚卸高",SUMPRODUCT((MONTH(仕訳帳!C$4:C$999)=1)*(DAY(仕訳帳!C$4:C$999)=1)*(仕訳帳!I$4:I$999=C27)*(仕訳帳!E$4:E$999)),IF(C27="元入金",-SUMPRODUCT((MONTH(仕訳帳!C$4:C$999)=1)*(DAY(仕訳帳!C$4:C$999)=1)*(仕訳帳!I$4:I$999=C27)*(仕訳帳!E$4:E$999))+SUMPRODUCT((MONTH(仕訳帳!C$4:C$999)=1)*(DAY(仕訳帳!C$4:C$999)=1)*(仕訳帳!J$4:J$999=C27)*(仕訳帳!H$4:H$999)),(IF(OR(D27="負債・資本",D27="収益"),-1,1)*(SUMPRODUCT((MONTH(仕訳帳!C$4:C$999)=1)*(DAY(仕訳帳!C$4:C$999)=1)*(仕訳帳!I$4:I$999=C27)*(仕訳帳!J$4:J$999="元入金")*(仕訳帳!E$4:E$999))-SUMPRODUCT((MONTH(仕訳帳!C$4:C$999)=1)*(DAY(仕訳帳!C$4:C$999)=1)*(仕訳帳!J$4:J$999=C27)*(仕訳帳!I$4:I$999="元入金")*(仕訳帳!H$4:H$999))))))))</f>
        <v>0</v>
      </c>
      <c r="F27" s="13">
        <f>IF(C27="期首商品（製品)棚卸高","-",IF(C27="棚卸資産",SUMPRODUCT((MONTH(仕訳帳!C$4:C$999)=12)*(DAY(仕訳帳!C$4:C$999)=31)*(仕訳帳!J$4:J$999="期末商品（製品)棚卸高")*(仕訳帳!H$4:H$999)),IF(C27="期末商品（製品)棚卸高",SUMPRODUCT((MONTH(仕訳帳!C$4:C$999)=12)*(DAY(仕訳帳!C$4:C$999)=31)*(仕訳帳!J$4:J$999=C27)*(仕訳帳!H$4:H$999)),(IF(OR(D27="負債・資本",D27="収益"),-1,1)*(SUMIF(仕訳帳!I$4:I$999,集計確認・分析!C27,仕訳帳!E$4:E$999)-SUMIF(仕訳帳!J$4:J$999,集計確認・分析!C27,仕訳帳!H$4:H$999))))))</f>
        <v>0</v>
      </c>
    </row>
    <row r="28" spans="2:6">
      <c r="B28" s="33">
        <v>12</v>
      </c>
      <c r="C28" s="11" t="s">
        <v>78</v>
      </c>
      <c r="D28" s="34" t="s">
        <v>74</v>
      </c>
      <c r="E28" s="13">
        <f>IF(C28="期末商品（製品)棚卸高","-",IF(C28="棚卸資産",SUMPRODUCT((MONTH(仕訳帳!C$4:C$999)=1)*(DAY(仕訳帳!C$4:C$999)=1)*(仕訳帳!I$4:I$999="期首商品（製品)棚卸高")*(仕訳帳!E$4:E$999)),IF(C28="期首商品（製品)棚卸高",SUMPRODUCT((MONTH(仕訳帳!C$4:C$999)=1)*(DAY(仕訳帳!C$4:C$999)=1)*(仕訳帳!I$4:I$999=C28)*(仕訳帳!E$4:E$999)),IF(C28="元入金",-SUMPRODUCT((MONTH(仕訳帳!C$4:C$999)=1)*(DAY(仕訳帳!C$4:C$999)=1)*(仕訳帳!I$4:I$999=C28)*(仕訳帳!E$4:E$999))+SUMPRODUCT((MONTH(仕訳帳!C$4:C$999)=1)*(DAY(仕訳帳!C$4:C$999)=1)*(仕訳帳!J$4:J$999=C28)*(仕訳帳!H$4:H$999)),(IF(OR(D28="負債・資本",D28="収益"),-1,1)*(SUMPRODUCT((MONTH(仕訳帳!C$4:C$999)=1)*(DAY(仕訳帳!C$4:C$999)=1)*(仕訳帳!I$4:I$999=C28)*(仕訳帳!J$4:J$999="元入金")*(仕訳帳!E$4:E$999))-SUMPRODUCT((MONTH(仕訳帳!C$4:C$999)=1)*(DAY(仕訳帳!C$4:C$999)=1)*(仕訳帳!J$4:J$999=C28)*(仕訳帳!I$4:I$999="元入金")*(仕訳帳!H$4:H$999))))))))</f>
        <v>0</v>
      </c>
      <c r="F28" s="13">
        <f>IF(C28="期首商品（製品)棚卸高","-",IF(C28="棚卸資産",SUMPRODUCT((MONTH(仕訳帳!C$4:C$999)=12)*(DAY(仕訳帳!C$4:C$999)=31)*(仕訳帳!J$4:J$999="期末商品（製品)棚卸高")*(仕訳帳!H$4:H$999)),IF(C28="期末商品（製品)棚卸高",SUMPRODUCT((MONTH(仕訳帳!C$4:C$999)=12)*(DAY(仕訳帳!C$4:C$999)=31)*(仕訳帳!J$4:J$999=C28)*(仕訳帳!H$4:H$999)),(IF(OR(D28="負債・資本",D28="収益"),-1,1)*(SUMIF(仕訳帳!I$4:I$999,集計確認・分析!C28,仕訳帳!E$4:E$999)-SUMIF(仕訳帳!J$4:J$999,集計確認・分析!C28,仕訳帳!H$4:H$999))))))</f>
        <v>0</v>
      </c>
    </row>
    <row r="29" spans="2:6">
      <c r="B29" s="33">
        <v>13</v>
      </c>
      <c r="C29" s="11" t="s">
        <v>79</v>
      </c>
      <c r="D29" s="34" t="s">
        <v>74</v>
      </c>
      <c r="E29" s="13">
        <f>IF(C29="期末商品（製品)棚卸高","-",IF(C29="棚卸資産",SUMPRODUCT((MONTH(仕訳帳!C$4:C$999)=1)*(DAY(仕訳帳!C$4:C$999)=1)*(仕訳帳!I$4:I$999="期首商品（製品)棚卸高")*(仕訳帳!E$4:E$999)),IF(C29="期首商品（製品)棚卸高",SUMPRODUCT((MONTH(仕訳帳!C$4:C$999)=1)*(DAY(仕訳帳!C$4:C$999)=1)*(仕訳帳!I$4:I$999=C29)*(仕訳帳!E$4:E$999)),IF(C29="元入金",-SUMPRODUCT((MONTH(仕訳帳!C$4:C$999)=1)*(DAY(仕訳帳!C$4:C$999)=1)*(仕訳帳!I$4:I$999=C29)*(仕訳帳!E$4:E$999))+SUMPRODUCT((MONTH(仕訳帳!C$4:C$999)=1)*(DAY(仕訳帳!C$4:C$999)=1)*(仕訳帳!J$4:J$999=C29)*(仕訳帳!H$4:H$999)),(IF(OR(D29="負債・資本",D29="収益"),-1,1)*(SUMPRODUCT((MONTH(仕訳帳!C$4:C$999)=1)*(DAY(仕訳帳!C$4:C$999)=1)*(仕訳帳!I$4:I$999=C29)*(仕訳帳!J$4:J$999="元入金")*(仕訳帳!E$4:E$999))-SUMPRODUCT((MONTH(仕訳帳!C$4:C$999)=1)*(DAY(仕訳帳!C$4:C$999)=1)*(仕訳帳!J$4:J$999=C29)*(仕訳帳!I$4:I$999="元入金")*(仕訳帳!H$4:H$999))))))))</f>
        <v>0</v>
      </c>
      <c r="F29" s="13">
        <f>IF(C29="期首商品（製品)棚卸高","-",IF(C29="棚卸資産",SUMPRODUCT((MONTH(仕訳帳!C$4:C$999)=12)*(DAY(仕訳帳!C$4:C$999)=31)*(仕訳帳!J$4:J$999="期末商品（製品)棚卸高")*(仕訳帳!H$4:H$999)),IF(C29="期末商品（製品)棚卸高",SUMPRODUCT((MONTH(仕訳帳!C$4:C$999)=12)*(DAY(仕訳帳!C$4:C$999)=31)*(仕訳帳!J$4:J$999=C29)*(仕訳帳!H$4:H$999)),(IF(OR(D29="負債・資本",D29="収益"),-1,1)*(SUMIF(仕訳帳!I$4:I$999,集計確認・分析!C29,仕訳帳!E$4:E$999)-SUMIF(仕訳帳!J$4:J$999,集計確認・分析!C29,仕訳帳!H$4:H$999))))))</f>
        <v>0</v>
      </c>
    </row>
    <row r="30" spans="2:6">
      <c r="B30" s="33">
        <v>14</v>
      </c>
      <c r="C30" s="11" t="s">
        <v>80</v>
      </c>
      <c r="D30" s="34" t="s">
        <v>74</v>
      </c>
      <c r="E30" s="13">
        <f>IF(C30="期末商品（製品)棚卸高","-",IF(C30="棚卸資産",SUMPRODUCT((MONTH(仕訳帳!C$4:C$999)=1)*(DAY(仕訳帳!C$4:C$999)=1)*(仕訳帳!I$4:I$999="期首商品（製品)棚卸高")*(仕訳帳!E$4:E$999)),IF(C30="期首商品（製品)棚卸高",SUMPRODUCT((MONTH(仕訳帳!C$4:C$999)=1)*(DAY(仕訳帳!C$4:C$999)=1)*(仕訳帳!I$4:I$999=C30)*(仕訳帳!E$4:E$999)),IF(C30="元入金",-SUMPRODUCT((MONTH(仕訳帳!C$4:C$999)=1)*(DAY(仕訳帳!C$4:C$999)=1)*(仕訳帳!I$4:I$999=C30)*(仕訳帳!E$4:E$999))+SUMPRODUCT((MONTH(仕訳帳!C$4:C$999)=1)*(DAY(仕訳帳!C$4:C$999)=1)*(仕訳帳!J$4:J$999=C30)*(仕訳帳!H$4:H$999)),(IF(OR(D30="負債・資本",D30="収益"),-1,1)*(SUMPRODUCT((MONTH(仕訳帳!C$4:C$999)=1)*(DAY(仕訳帳!C$4:C$999)=1)*(仕訳帳!I$4:I$999=C30)*(仕訳帳!J$4:J$999="元入金")*(仕訳帳!E$4:E$999))-SUMPRODUCT((MONTH(仕訳帳!C$4:C$999)=1)*(DAY(仕訳帳!C$4:C$999)=1)*(仕訳帳!J$4:J$999=C30)*(仕訳帳!I$4:I$999="元入金")*(仕訳帳!H$4:H$999))))))))</f>
        <v>0</v>
      </c>
      <c r="F30" s="13">
        <f>IF(C30="期首商品（製品)棚卸高","-",IF(C30="棚卸資産",SUMPRODUCT((MONTH(仕訳帳!C$4:C$999)=12)*(DAY(仕訳帳!C$4:C$999)=31)*(仕訳帳!J$4:J$999="期末商品（製品)棚卸高")*(仕訳帳!H$4:H$999)),IF(C30="期末商品（製品)棚卸高",SUMPRODUCT((MONTH(仕訳帳!C$4:C$999)=12)*(DAY(仕訳帳!C$4:C$999)=31)*(仕訳帳!J$4:J$999=C30)*(仕訳帳!H$4:H$999)),(IF(OR(D30="負債・資本",D30="収益"),-1,1)*(SUMIF(仕訳帳!I$4:I$999,集計確認・分析!C30,仕訳帳!E$4:E$999)-SUMIF(仕訳帳!J$4:J$999,集計確認・分析!C30,仕訳帳!H$4:H$999))))))</f>
        <v>0</v>
      </c>
    </row>
    <row r="31" spans="2:6">
      <c r="B31" s="33">
        <v>15</v>
      </c>
      <c r="C31" s="11" t="s">
        <v>81</v>
      </c>
      <c r="D31" s="34" t="s">
        <v>74</v>
      </c>
      <c r="E31" s="13">
        <f>IF(C31="期末商品（製品)棚卸高","-",IF(C31="棚卸資産",SUMPRODUCT((MONTH(仕訳帳!C$4:C$999)=1)*(DAY(仕訳帳!C$4:C$999)=1)*(仕訳帳!I$4:I$999="期首商品（製品)棚卸高")*(仕訳帳!E$4:E$999)),IF(C31="期首商品（製品)棚卸高",SUMPRODUCT((MONTH(仕訳帳!C$4:C$999)=1)*(DAY(仕訳帳!C$4:C$999)=1)*(仕訳帳!I$4:I$999=C31)*(仕訳帳!E$4:E$999)),IF(C31="元入金",-SUMPRODUCT((MONTH(仕訳帳!C$4:C$999)=1)*(DAY(仕訳帳!C$4:C$999)=1)*(仕訳帳!I$4:I$999=C31)*(仕訳帳!E$4:E$999))+SUMPRODUCT((MONTH(仕訳帳!C$4:C$999)=1)*(DAY(仕訳帳!C$4:C$999)=1)*(仕訳帳!J$4:J$999=C31)*(仕訳帳!H$4:H$999)),(IF(OR(D31="負債・資本",D31="収益"),-1,1)*(SUMPRODUCT((MONTH(仕訳帳!C$4:C$999)=1)*(DAY(仕訳帳!C$4:C$999)=1)*(仕訳帳!I$4:I$999=C31)*(仕訳帳!J$4:J$999="元入金")*(仕訳帳!E$4:E$999))-SUMPRODUCT((MONTH(仕訳帳!C$4:C$999)=1)*(DAY(仕訳帳!C$4:C$999)=1)*(仕訳帳!J$4:J$999=C31)*(仕訳帳!I$4:I$999="元入金")*(仕訳帳!H$4:H$999))))))))</f>
        <v>0</v>
      </c>
      <c r="F31" s="13">
        <f>IF(C31="期首商品（製品)棚卸高","-",IF(C31="棚卸資産",SUMPRODUCT((MONTH(仕訳帳!C$4:C$999)=12)*(DAY(仕訳帳!C$4:C$999)=31)*(仕訳帳!J$4:J$999="期末商品（製品)棚卸高")*(仕訳帳!H$4:H$999)),IF(C31="期末商品（製品)棚卸高",SUMPRODUCT((MONTH(仕訳帳!C$4:C$999)=12)*(DAY(仕訳帳!C$4:C$999)=31)*(仕訳帳!J$4:J$999=C31)*(仕訳帳!H$4:H$999)),(IF(OR(D31="負債・資本",D31="収益"),-1,1)*(SUMIF(仕訳帳!I$4:I$999,集計確認・分析!C31,仕訳帳!E$4:E$999)-SUMIF(仕訳帳!J$4:J$999,集計確認・分析!C31,仕訳帳!H$4:H$999))))))</f>
        <v>0</v>
      </c>
    </row>
    <row r="32" spans="2:6">
      <c r="B32" s="33">
        <v>16</v>
      </c>
      <c r="C32" s="11" t="s">
        <v>82</v>
      </c>
      <c r="D32" s="34" t="s">
        <v>74</v>
      </c>
      <c r="E32" s="13">
        <f>IF(C32="期末商品（製品)棚卸高","-",IF(C32="棚卸資産",SUMPRODUCT((MONTH(仕訳帳!C$4:C$999)=1)*(DAY(仕訳帳!C$4:C$999)=1)*(仕訳帳!I$4:I$999="期首商品（製品)棚卸高")*(仕訳帳!E$4:E$999)),IF(C32="期首商品（製品)棚卸高",SUMPRODUCT((MONTH(仕訳帳!C$4:C$999)=1)*(DAY(仕訳帳!C$4:C$999)=1)*(仕訳帳!I$4:I$999=C32)*(仕訳帳!E$4:E$999)),IF(C32="元入金",-SUMPRODUCT((MONTH(仕訳帳!C$4:C$999)=1)*(DAY(仕訳帳!C$4:C$999)=1)*(仕訳帳!I$4:I$999=C32)*(仕訳帳!E$4:E$999))+SUMPRODUCT((MONTH(仕訳帳!C$4:C$999)=1)*(DAY(仕訳帳!C$4:C$999)=1)*(仕訳帳!J$4:J$999=C32)*(仕訳帳!H$4:H$999)),(IF(OR(D32="負債・資本",D32="収益"),-1,1)*(SUMPRODUCT((MONTH(仕訳帳!C$4:C$999)=1)*(DAY(仕訳帳!C$4:C$999)=1)*(仕訳帳!I$4:I$999=C32)*(仕訳帳!J$4:J$999="元入金")*(仕訳帳!E$4:E$999))-SUMPRODUCT((MONTH(仕訳帳!C$4:C$999)=1)*(DAY(仕訳帳!C$4:C$999)=1)*(仕訳帳!J$4:J$999=C32)*(仕訳帳!I$4:I$999="元入金")*(仕訳帳!H$4:H$999))))))))</f>
        <v>0</v>
      </c>
      <c r="F32" s="13">
        <f>IF(C32="期首商品（製品)棚卸高","-",IF(C32="棚卸資産",SUMPRODUCT((MONTH(仕訳帳!C$4:C$999)=12)*(DAY(仕訳帳!C$4:C$999)=31)*(仕訳帳!J$4:J$999="期末商品（製品)棚卸高")*(仕訳帳!H$4:H$999)),IF(C32="期末商品（製品)棚卸高",SUMPRODUCT((MONTH(仕訳帳!C$4:C$999)=12)*(DAY(仕訳帳!C$4:C$999)=31)*(仕訳帳!J$4:J$999=C32)*(仕訳帳!H$4:H$999)),(IF(OR(D32="負債・資本",D32="収益"),-1,1)*(SUMIF(仕訳帳!I$4:I$999,集計確認・分析!C32,仕訳帳!E$4:E$999)-SUMIF(仕訳帳!J$4:J$999,集計確認・分析!C32,仕訳帳!H$4:H$999))))))</f>
        <v>0</v>
      </c>
    </row>
    <row r="33" spans="2:6">
      <c r="B33" s="33">
        <v>17</v>
      </c>
      <c r="C33" s="11" t="s">
        <v>83</v>
      </c>
      <c r="D33" s="34" t="s">
        <v>74</v>
      </c>
      <c r="E33" s="13">
        <f>IF(C33="期末商品（製品)棚卸高","-",IF(C33="棚卸資産",SUMPRODUCT((MONTH(仕訳帳!C$4:C$999)=1)*(DAY(仕訳帳!C$4:C$999)=1)*(仕訳帳!I$4:I$999="期首商品（製品)棚卸高")*(仕訳帳!E$4:E$999)),IF(C33="期首商品（製品)棚卸高",SUMPRODUCT((MONTH(仕訳帳!C$4:C$999)=1)*(DAY(仕訳帳!C$4:C$999)=1)*(仕訳帳!I$4:I$999=C33)*(仕訳帳!E$4:E$999)),IF(C33="元入金",-SUMPRODUCT((MONTH(仕訳帳!C$4:C$999)=1)*(DAY(仕訳帳!C$4:C$999)=1)*(仕訳帳!I$4:I$999=C33)*(仕訳帳!E$4:E$999))+SUMPRODUCT((MONTH(仕訳帳!C$4:C$999)=1)*(DAY(仕訳帳!C$4:C$999)=1)*(仕訳帳!J$4:J$999=C33)*(仕訳帳!H$4:H$999)),(IF(OR(D33="負債・資本",D33="収益"),-1,1)*(SUMPRODUCT((MONTH(仕訳帳!C$4:C$999)=1)*(DAY(仕訳帳!C$4:C$999)=1)*(仕訳帳!I$4:I$999=C33)*(仕訳帳!J$4:J$999="元入金")*(仕訳帳!E$4:E$999))-SUMPRODUCT((MONTH(仕訳帳!C$4:C$999)=1)*(DAY(仕訳帳!C$4:C$999)=1)*(仕訳帳!J$4:J$999=C33)*(仕訳帳!I$4:I$999="元入金")*(仕訳帳!H$4:H$999))))))))</f>
        <v>0</v>
      </c>
      <c r="F33" s="13">
        <f>IF(C33="期首商品（製品)棚卸高","-",IF(C33="棚卸資産",SUMPRODUCT((MONTH(仕訳帳!C$4:C$999)=12)*(DAY(仕訳帳!C$4:C$999)=31)*(仕訳帳!J$4:J$999="期末商品（製品)棚卸高")*(仕訳帳!H$4:H$999)),IF(C33="期末商品（製品)棚卸高",SUMPRODUCT((MONTH(仕訳帳!C$4:C$999)=12)*(DAY(仕訳帳!C$4:C$999)=31)*(仕訳帳!J$4:J$999=C33)*(仕訳帳!H$4:H$999)),(IF(OR(D33="負債・資本",D33="収益"),-1,1)*(SUMIF(仕訳帳!I$4:I$999,集計確認・分析!C33,仕訳帳!E$4:E$999)-SUMIF(仕訳帳!J$4:J$999,集計確認・分析!C33,仕訳帳!H$4:H$999))))))</f>
        <v>0</v>
      </c>
    </row>
    <row r="34" spans="2:6">
      <c r="B34" s="33">
        <v>18</v>
      </c>
      <c r="C34" s="11" t="s">
        <v>84</v>
      </c>
      <c r="D34" s="34" t="s">
        <v>74</v>
      </c>
      <c r="E34" s="13">
        <f>IF(C34="期末商品（製品)棚卸高","-",IF(C34="棚卸資産",SUMPRODUCT((MONTH(仕訳帳!C$4:C$999)=1)*(DAY(仕訳帳!C$4:C$999)=1)*(仕訳帳!I$4:I$999="期首商品（製品)棚卸高")*(仕訳帳!E$4:E$999)),IF(C34="期首商品（製品)棚卸高",SUMPRODUCT((MONTH(仕訳帳!C$4:C$999)=1)*(DAY(仕訳帳!C$4:C$999)=1)*(仕訳帳!I$4:I$999=C34)*(仕訳帳!E$4:E$999)),IF(C34="元入金",-SUMPRODUCT((MONTH(仕訳帳!C$4:C$999)=1)*(DAY(仕訳帳!C$4:C$999)=1)*(仕訳帳!I$4:I$999=C34)*(仕訳帳!E$4:E$999))+SUMPRODUCT((MONTH(仕訳帳!C$4:C$999)=1)*(DAY(仕訳帳!C$4:C$999)=1)*(仕訳帳!J$4:J$999=C34)*(仕訳帳!H$4:H$999)),(IF(OR(D34="負債・資本",D34="収益"),-1,1)*(SUMPRODUCT((MONTH(仕訳帳!C$4:C$999)=1)*(DAY(仕訳帳!C$4:C$999)=1)*(仕訳帳!I$4:I$999=C34)*(仕訳帳!J$4:J$999="元入金")*(仕訳帳!E$4:E$999))-SUMPRODUCT((MONTH(仕訳帳!C$4:C$999)=1)*(DAY(仕訳帳!C$4:C$999)=1)*(仕訳帳!J$4:J$999=C34)*(仕訳帳!I$4:I$999="元入金")*(仕訳帳!H$4:H$999))))))))</f>
        <v>0</v>
      </c>
      <c r="F34" s="13">
        <f>IF(C34="期首商品（製品)棚卸高","-",IF(C34="棚卸資産",SUMPRODUCT((MONTH(仕訳帳!C$4:C$999)=12)*(DAY(仕訳帳!C$4:C$999)=31)*(仕訳帳!J$4:J$999="期末商品（製品)棚卸高")*(仕訳帳!H$4:H$999)),IF(C34="期末商品（製品)棚卸高",SUMPRODUCT((MONTH(仕訳帳!C$4:C$999)=12)*(DAY(仕訳帳!C$4:C$999)=31)*(仕訳帳!J$4:J$999=C34)*(仕訳帳!H$4:H$999)),(IF(OR(D34="負債・資本",D34="収益"),-1,1)*(SUMIF(仕訳帳!I$4:I$999,集計確認・分析!C34,仕訳帳!E$4:E$999)-SUMIF(仕訳帳!J$4:J$999,集計確認・分析!C34,仕訳帳!H$4:H$999))))))</f>
        <v>0</v>
      </c>
    </row>
    <row r="35" spans="2:6">
      <c r="B35" s="33">
        <v>19</v>
      </c>
      <c r="C35" s="11" t="s">
        <v>85</v>
      </c>
      <c r="D35" s="34" t="s">
        <v>74</v>
      </c>
      <c r="E35" s="13">
        <f>IF(C35="期末商品（製品)棚卸高","-",IF(C35="棚卸資産",SUMPRODUCT((MONTH(仕訳帳!C$4:C$999)=1)*(DAY(仕訳帳!C$4:C$999)=1)*(仕訳帳!I$4:I$999="期首商品（製品)棚卸高")*(仕訳帳!E$4:E$999)),IF(C35="期首商品（製品)棚卸高",SUMPRODUCT((MONTH(仕訳帳!C$4:C$999)=1)*(DAY(仕訳帳!C$4:C$999)=1)*(仕訳帳!I$4:I$999=C35)*(仕訳帳!E$4:E$999)),IF(C35="元入金",-SUMPRODUCT((MONTH(仕訳帳!C$4:C$999)=1)*(DAY(仕訳帳!C$4:C$999)=1)*(仕訳帳!I$4:I$999=C35)*(仕訳帳!E$4:E$999))+SUMPRODUCT((MONTH(仕訳帳!C$4:C$999)=1)*(DAY(仕訳帳!C$4:C$999)=1)*(仕訳帳!J$4:J$999=C35)*(仕訳帳!H$4:H$999)),(IF(OR(D35="負債・資本",D35="収益"),-1,1)*(SUMPRODUCT((MONTH(仕訳帳!C$4:C$999)=1)*(DAY(仕訳帳!C$4:C$999)=1)*(仕訳帳!I$4:I$999=C35)*(仕訳帳!J$4:J$999="元入金")*(仕訳帳!E$4:E$999))-SUMPRODUCT((MONTH(仕訳帳!C$4:C$999)=1)*(DAY(仕訳帳!C$4:C$999)=1)*(仕訳帳!J$4:J$999=C35)*(仕訳帳!I$4:I$999="元入金")*(仕訳帳!H$4:H$999))))))))</f>
        <v>0</v>
      </c>
      <c r="F35" s="13">
        <f>IF(C35="期首商品（製品)棚卸高","-",IF(C35="棚卸資産",SUMPRODUCT((MONTH(仕訳帳!C$4:C$999)=12)*(DAY(仕訳帳!C$4:C$999)=31)*(仕訳帳!J$4:J$999="期末商品（製品)棚卸高")*(仕訳帳!H$4:H$999)),IF(C35="期末商品（製品)棚卸高",SUMPRODUCT((MONTH(仕訳帳!C$4:C$999)=12)*(DAY(仕訳帳!C$4:C$999)=31)*(仕訳帳!J$4:J$999=C35)*(仕訳帳!H$4:H$999)),(IF(OR(D35="負債・資本",D35="収益"),-1,1)*(SUMIF(仕訳帳!I$4:I$999,集計確認・分析!C35,仕訳帳!E$4:E$999)-SUMIF(仕訳帳!J$4:J$999,集計確認・分析!C35,仕訳帳!H$4:H$999))))))</f>
        <v>0</v>
      </c>
    </row>
    <row r="36" spans="2:6">
      <c r="B36" s="33">
        <v>20</v>
      </c>
      <c r="C36" s="11" t="s">
        <v>86</v>
      </c>
      <c r="D36" s="34" t="s">
        <v>74</v>
      </c>
      <c r="E36" s="13">
        <f>IF(C36="期末商品（製品)棚卸高","-",IF(C36="棚卸資産",SUMPRODUCT((MONTH(仕訳帳!C$4:C$999)=1)*(DAY(仕訳帳!C$4:C$999)=1)*(仕訳帳!I$4:I$999="期首商品（製品)棚卸高")*(仕訳帳!E$4:E$999)),IF(C36="期首商品（製品)棚卸高",SUMPRODUCT((MONTH(仕訳帳!C$4:C$999)=1)*(DAY(仕訳帳!C$4:C$999)=1)*(仕訳帳!I$4:I$999=C36)*(仕訳帳!E$4:E$999)),IF(C36="元入金",-SUMPRODUCT((MONTH(仕訳帳!C$4:C$999)=1)*(DAY(仕訳帳!C$4:C$999)=1)*(仕訳帳!I$4:I$999=C36)*(仕訳帳!E$4:E$999))+SUMPRODUCT((MONTH(仕訳帳!C$4:C$999)=1)*(DAY(仕訳帳!C$4:C$999)=1)*(仕訳帳!J$4:J$999=C36)*(仕訳帳!H$4:H$999)),(IF(OR(D36="負債・資本",D36="収益"),-1,1)*(SUMPRODUCT((MONTH(仕訳帳!C$4:C$999)=1)*(DAY(仕訳帳!C$4:C$999)=1)*(仕訳帳!I$4:I$999=C36)*(仕訳帳!J$4:J$999="元入金")*(仕訳帳!E$4:E$999))-SUMPRODUCT((MONTH(仕訳帳!C$4:C$999)=1)*(DAY(仕訳帳!C$4:C$999)=1)*(仕訳帳!J$4:J$999=C36)*(仕訳帳!I$4:I$999="元入金")*(仕訳帳!H$4:H$999))))))))</f>
        <v>0</v>
      </c>
      <c r="F36" s="13">
        <f>IF(C36="期首商品（製品)棚卸高","-",IF(C36="棚卸資産",SUMPRODUCT((MONTH(仕訳帳!C$4:C$999)=12)*(DAY(仕訳帳!C$4:C$999)=31)*(仕訳帳!J$4:J$999="期末商品（製品)棚卸高")*(仕訳帳!H$4:H$999)),IF(C36="期末商品（製品)棚卸高",SUMPRODUCT((MONTH(仕訳帳!C$4:C$999)=12)*(DAY(仕訳帳!C$4:C$999)=31)*(仕訳帳!J$4:J$999=C36)*(仕訳帳!H$4:H$999)),(IF(OR(D36="負債・資本",D36="収益"),-1,1)*(SUMIF(仕訳帳!I$4:I$999,集計確認・分析!C36,仕訳帳!E$4:E$999)-SUMIF(仕訳帳!J$4:J$999,集計確認・分析!C36,仕訳帳!H$4:H$999))))))</f>
        <v>0</v>
      </c>
    </row>
    <row r="37" spans="2:6">
      <c r="B37" s="33">
        <v>21</v>
      </c>
      <c r="C37" s="11" t="s">
        <v>291</v>
      </c>
      <c r="D37" s="34" t="s">
        <v>74</v>
      </c>
      <c r="E37" s="13">
        <f>IF(C37="期末商品（製品)棚卸高","-",IF(C37="棚卸資産",SUMPRODUCT((MONTH(仕訳帳!C$4:C$999)=1)*(DAY(仕訳帳!C$4:C$999)=1)*(仕訳帳!I$4:I$999="期首商品（製品)棚卸高")*(仕訳帳!E$4:E$999)),IF(C37="期首商品（製品)棚卸高",SUMPRODUCT((MONTH(仕訳帳!C$4:C$999)=1)*(DAY(仕訳帳!C$4:C$999)=1)*(仕訳帳!I$4:I$999=C37)*(仕訳帳!E$4:E$999)),IF(C37="元入金",-SUMPRODUCT((MONTH(仕訳帳!C$4:C$999)=1)*(DAY(仕訳帳!C$4:C$999)=1)*(仕訳帳!I$4:I$999=C37)*(仕訳帳!E$4:E$999))+SUMPRODUCT((MONTH(仕訳帳!C$4:C$999)=1)*(DAY(仕訳帳!C$4:C$999)=1)*(仕訳帳!J$4:J$999=C37)*(仕訳帳!H$4:H$999)),(IF(OR(D37="負債・資本",D37="収益"),-1,1)*(SUMPRODUCT((MONTH(仕訳帳!C$4:C$999)=1)*(DAY(仕訳帳!C$4:C$999)=1)*(仕訳帳!I$4:I$999=C37)*(仕訳帳!J$4:J$999="元入金")*(仕訳帳!E$4:E$999))-SUMPRODUCT((MONTH(仕訳帳!C$4:C$999)=1)*(DAY(仕訳帳!C$4:C$999)=1)*(仕訳帳!J$4:J$999=C37)*(仕訳帳!I$4:I$999="元入金")*(仕訳帳!H$4:H$999))))))))</f>
        <v>0</v>
      </c>
      <c r="F37" s="13">
        <f>IF(C37="期首商品（製品)棚卸高","-",IF(C37="棚卸資産",SUMPRODUCT((MONTH(仕訳帳!C$4:C$999)=12)*(DAY(仕訳帳!C$4:C$999)=31)*(仕訳帳!J$4:J$999="期末商品（製品)棚卸高")*(仕訳帳!H$4:H$999)),IF(C37="期末商品（製品)棚卸高",SUMPRODUCT((MONTH(仕訳帳!C$4:C$999)=12)*(DAY(仕訳帳!C$4:C$999)=31)*(仕訳帳!J$4:J$999=C37)*(仕訳帳!H$4:H$999)),(IF(OR(D37="負債・資本",D37="収益"),-1,1)*(SUMIF(仕訳帳!I$4:I$999,集計確認・分析!C37,仕訳帳!E$4:E$999)-SUMIF(仕訳帳!J$4:J$999,集計確認・分析!C37,仕訳帳!H$4:H$999))))))</f>
        <v>0</v>
      </c>
    </row>
    <row r="38" spans="2:6">
      <c r="B38" s="33">
        <v>22</v>
      </c>
      <c r="C38" s="11" t="s">
        <v>87</v>
      </c>
      <c r="D38" s="34" t="s">
        <v>74</v>
      </c>
      <c r="E38" s="13">
        <f>IF(C38="期末商品（製品)棚卸高","-",IF(C38="棚卸資産",SUMPRODUCT((MONTH(仕訳帳!C$4:C$999)=1)*(DAY(仕訳帳!C$4:C$999)=1)*(仕訳帳!I$4:I$999="期首商品（製品)棚卸高")*(仕訳帳!E$4:E$999)),IF(C38="期首商品（製品)棚卸高",SUMPRODUCT((MONTH(仕訳帳!C$4:C$999)=1)*(DAY(仕訳帳!C$4:C$999)=1)*(仕訳帳!I$4:I$999=C38)*(仕訳帳!E$4:E$999)),IF(C38="元入金",-SUMPRODUCT((MONTH(仕訳帳!C$4:C$999)=1)*(DAY(仕訳帳!C$4:C$999)=1)*(仕訳帳!I$4:I$999=C38)*(仕訳帳!E$4:E$999))+SUMPRODUCT((MONTH(仕訳帳!C$4:C$999)=1)*(DAY(仕訳帳!C$4:C$999)=1)*(仕訳帳!J$4:J$999=C38)*(仕訳帳!H$4:H$999)),(IF(OR(D38="負債・資本",D38="収益"),-1,1)*(SUMPRODUCT((MONTH(仕訳帳!C$4:C$999)=1)*(DAY(仕訳帳!C$4:C$999)=1)*(仕訳帳!I$4:I$999=C38)*(仕訳帳!J$4:J$999="元入金")*(仕訳帳!E$4:E$999))-SUMPRODUCT((MONTH(仕訳帳!C$4:C$999)=1)*(DAY(仕訳帳!C$4:C$999)=1)*(仕訳帳!J$4:J$999=C38)*(仕訳帳!I$4:I$999="元入金")*(仕訳帳!H$4:H$999))))))))</f>
        <v>0</v>
      </c>
      <c r="F38" s="13">
        <f>IF(C38="期首商品（製品)棚卸高","-",IF(C38="棚卸資産",SUMPRODUCT((MONTH(仕訳帳!C$4:C$999)=12)*(DAY(仕訳帳!C$4:C$999)=31)*(仕訳帳!J$4:J$999="期末商品（製品)棚卸高")*(仕訳帳!H$4:H$999)),IF(C38="期末商品（製品)棚卸高",SUMPRODUCT((MONTH(仕訳帳!C$4:C$999)=12)*(DAY(仕訳帳!C$4:C$999)=31)*(仕訳帳!J$4:J$999=C38)*(仕訳帳!H$4:H$999)),(IF(OR(D38="負債・資本",D38="収益"),-1,1)*(SUMIF(仕訳帳!I$4:I$999,集計確認・分析!C38,仕訳帳!E$4:E$999)-SUMIF(仕訳帳!J$4:J$999,集計確認・分析!C38,仕訳帳!H$4:H$999))))))</f>
        <v>0</v>
      </c>
    </row>
    <row r="39" spans="2:6">
      <c r="B39" s="33">
        <v>23</v>
      </c>
      <c r="C39" s="11" t="s">
        <v>88</v>
      </c>
      <c r="D39" s="34" t="s">
        <v>74</v>
      </c>
      <c r="E39" s="13">
        <f>IF(C39="期末商品（製品)棚卸高","-",IF(C39="棚卸資産",SUMPRODUCT((MONTH(仕訳帳!C$4:C$999)=1)*(DAY(仕訳帳!C$4:C$999)=1)*(仕訳帳!I$4:I$999="期首商品（製品)棚卸高")*(仕訳帳!E$4:E$999)),IF(C39="期首商品（製品)棚卸高",SUMPRODUCT((MONTH(仕訳帳!C$4:C$999)=1)*(DAY(仕訳帳!C$4:C$999)=1)*(仕訳帳!I$4:I$999=C39)*(仕訳帳!E$4:E$999)),IF(C39="元入金",-SUMPRODUCT((MONTH(仕訳帳!C$4:C$999)=1)*(DAY(仕訳帳!C$4:C$999)=1)*(仕訳帳!I$4:I$999=C39)*(仕訳帳!E$4:E$999))+SUMPRODUCT((MONTH(仕訳帳!C$4:C$999)=1)*(DAY(仕訳帳!C$4:C$999)=1)*(仕訳帳!J$4:J$999=C39)*(仕訳帳!H$4:H$999)),(IF(OR(D39="負債・資本",D39="収益"),-1,1)*(SUMPRODUCT((MONTH(仕訳帳!C$4:C$999)=1)*(DAY(仕訳帳!C$4:C$999)=1)*(仕訳帳!I$4:I$999=C39)*(仕訳帳!J$4:J$999="元入金")*(仕訳帳!E$4:E$999))-SUMPRODUCT((MONTH(仕訳帳!C$4:C$999)=1)*(DAY(仕訳帳!C$4:C$999)=1)*(仕訳帳!J$4:J$999=C39)*(仕訳帳!I$4:I$999="元入金")*(仕訳帳!H$4:H$999))))))))</f>
        <v>0</v>
      </c>
      <c r="F39" s="13">
        <f>IF(C39="期首商品（製品)棚卸高","-",IF(C39="棚卸資産",SUMPRODUCT((MONTH(仕訳帳!C$4:C$999)=12)*(DAY(仕訳帳!C$4:C$999)=31)*(仕訳帳!J$4:J$999="期末商品（製品)棚卸高")*(仕訳帳!H$4:H$999)),IF(C39="期末商品（製品)棚卸高",SUMPRODUCT((MONTH(仕訳帳!C$4:C$999)=12)*(DAY(仕訳帳!C$4:C$999)=31)*(仕訳帳!J$4:J$999=C39)*(仕訳帳!H$4:H$999)),(IF(OR(D39="負債・資本",D39="収益"),-1,1)*(SUMIF(仕訳帳!I$4:I$999,集計確認・分析!C39,仕訳帳!E$4:E$999)-SUMIF(仕訳帳!J$4:J$999,集計確認・分析!C39,仕訳帳!H$4:H$999))))))</f>
        <v>0</v>
      </c>
    </row>
    <row r="40" spans="2:6">
      <c r="B40" s="33">
        <v>24</v>
      </c>
      <c r="C40" s="11" t="s">
        <v>89</v>
      </c>
      <c r="D40" s="34" t="s">
        <v>74</v>
      </c>
      <c r="E40" s="13">
        <f>IF(C40="期末商品（製品)棚卸高","-",IF(C40="棚卸資産",SUMPRODUCT((MONTH(仕訳帳!C$4:C$999)=1)*(DAY(仕訳帳!C$4:C$999)=1)*(仕訳帳!I$4:I$999="期首商品（製品)棚卸高")*(仕訳帳!E$4:E$999)),IF(C40="期首商品（製品)棚卸高",SUMPRODUCT((MONTH(仕訳帳!C$4:C$999)=1)*(DAY(仕訳帳!C$4:C$999)=1)*(仕訳帳!I$4:I$999=C40)*(仕訳帳!E$4:E$999)),IF(C40="元入金",-SUMPRODUCT((MONTH(仕訳帳!C$4:C$999)=1)*(DAY(仕訳帳!C$4:C$999)=1)*(仕訳帳!I$4:I$999=C40)*(仕訳帳!E$4:E$999))+SUMPRODUCT((MONTH(仕訳帳!C$4:C$999)=1)*(DAY(仕訳帳!C$4:C$999)=1)*(仕訳帳!J$4:J$999=C40)*(仕訳帳!H$4:H$999)),(IF(OR(D40="負債・資本",D40="収益"),-1,1)*(SUMPRODUCT((MONTH(仕訳帳!C$4:C$999)=1)*(DAY(仕訳帳!C$4:C$999)=1)*(仕訳帳!I$4:I$999=C40)*(仕訳帳!J$4:J$999="元入金")*(仕訳帳!E$4:E$999))-SUMPRODUCT((MONTH(仕訳帳!C$4:C$999)=1)*(DAY(仕訳帳!C$4:C$999)=1)*(仕訳帳!J$4:J$999=C40)*(仕訳帳!I$4:I$999="元入金")*(仕訳帳!H$4:H$999))))))))</f>
        <v>0</v>
      </c>
      <c r="F40" s="13">
        <f>IF(C40="期首商品（製品)棚卸高","-",IF(C40="棚卸資産",SUMPRODUCT((MONTH(仕訳帳!C$4:C$999)=12)*(DAY(仕訳帳!C$4:C$999)=31)*(仕訳帳!J$4:J$999="期末商品（製品)棚卸高")*(仕訳帳!H$4:H$999)),IF(C40="期末商品（製品)棚卸高",SUMPRODUCT((MONTH(仕訳帳!C$4:C$999)=12)*(DAY(仕訳帳!C$4:C$999)=31)*(仕訳帳!J$4:J$999=C40)*(仕訳帳!H$4:H$999)),(IF(OR(D40="負債・資本",D40="収益"),-1,1)*(SUMIF(仕訳帳!I$4:I$999,集計確認・分析!C40,仕訳帳!E$4:E$999)-SUMIF(仕訳帳!J$4:J$999,集計確認・分析!C40,仕訳帳!H$4:H$999))))))</f>
        <v>0</v>
      </c>
    </row>
    <row r="41" spans="2:6">
      <c r="B41" s="35"/>
      <c r="C41" s="36"/>
      <c r="D41" s="34" t="s">
        <v>74</v>
      </c>
      <c r="E41" s="13">
        <f>IF(C41="期末商品（製品)棚卸高","-",IF(C41="棚卸資産",SUMPRODUCT((MONTH(仕訳帳!C$4:C$999)=1)*(DAY(仕訳帳!C$4:C$999)=1)*(仕訳帳!I$4:I$999="期首商品（製品)棚卸高")*(仕訳帳!E$4:E$999)),IF(C41="期首商品（製品)棚卸高",SUMPRODUCT((MONTH(仕訳帳!C$4:C$999)=1)*(DAY(仕訳帳!C$4:C$999)=1)*(仕訳帳!I$4:I$999=C41)*(仕訳帳!E$4:E$999)),IF(C41="元入金",-SUMPRODUCT((MONTH(仕訳帳!C$4:C$999)=1)*(DAY(仕訳帳!C$4:C$999)=1)*(仕訳帳!I$4:I$999=C41)*(仕訳帳!E$4:E$999))+SUMPRODUCT((MONTH(仕訳帳!C$4:C$999)=1)*(DAY(仕訳帳!C$4:C$999)=1)*(仕訳帳!J$4:J$999=C41)*(仕訳帳!H$4:H$999)),(IF(OR(D41="負債・資本",D41="収益"),-1,1)*(SUMPRODUCT((MONTH(仕訳帳!C$4:C$999)=1)*(DAY(仕訳帳!C$4:C$999)=1)*(仕訳帳!I$4:I$999=C41)*(仕訳帳!J$4:J$999="元入金")*(仕訳帳!E$4:E$999))-SUMPRODUCT((MONTH(仕訳帳!C$4:C$999)=1)*(DAY(仕訳帳!C$4:C$999)=1)*(仕訳帳!J$4:J$999=C41)*(仕訳帳!I$4:I$999="元入金")*(仕訳帳!H$4:H$999))))))))</f>
        <v>0</v>
      </c>
      <c r="F41" s="13">
        <f>IF(C41="期首商品（製品)棚卸高","-",IF(C41="棚卸資産",SUMPRODUCT((MONTH(仕訳帳!C$4:C$999)=12)*(DAY(仕訳帳!C$4:C$999)=31)*(仕訳帳!J$4:J$999="期末商品（製品)棚卸高")*(仕訳帳!H$4:H$999)),IF(C41="期末商品（製品)棚卸高",SUMPRODUCT((MONTH(仕訳帳!C$4:C$999)=12)*(DAY(仕訳帳!C$4:C$999)=31)*(仕訳帳!J$4:J$999=C41)*(仕訳帳!H$4:H$999)),(IF(OR(D41="負債・資本",D41="収益"),-1,1)*(SUMIF(仕訳帳!I$4:I$999,集計確認・分析!C41,仕訳帳!E$4:E$999)-SUMIF(仕訳帳!J$4:J$999,集計確認・分析!C41,仕訳帳!H$4:H$999))))))</f>
        <v>0</v>
      </c>
    </row>
    <row r="42" spans="2:6">
      <c r="B42" s="35"/>
      <c r="C42" s="36"/>
      <c r="D42" s="34"/>
      <c r="E42" s="13">
        <f>IF(C42="期末商品（製品)棚卸高","-",IF(C42="棚卸資産",SUMPRODUCT((MONTH(仕訳帳!C$4:C$999)=1)*(DAY(仕訳帳!C$4:C$999)=1)*(仕訳帳!I$4:I$999="期首商品（製品)棚卸高")*(仕訳帳!E$4:E$999)),IF(C42="期首商品（製品)棚卸高",SUMPRODUCT((MONTH(仕訳帳!C$4:C$999)=1)*(DAY(仕訳帳!C$4:C$999)=1)*(仕訳帳!I$4:I$999=C42)*(仕訳帳!E$4:E$999)),IF(C42="元入金",-SUMPRODUCT((MONTH(仕訳帳!C$4:C$999)=1)*(DAY(仕訳帳!C$4:C$999)=1)*(仕訳帳!I$4:I$999=C42)*(仕訳帳!E$4:E$999))+SUMPRODUCT((MONTH(仕訳帳!C$4:C$999)=1)*(DAY(仕訳帳!C$4:C$999)=1)*(仕訳帳!J$4:J$999=C42)*(仕訳帳!H$4:H$999)),(IF(OR(D42="負債・資本",D42="収益"),-1,1)*(SUMPRODUCT((MONTH(仕訳帳!C$4:C$999)=1)*(DAY(仕訳帳!C$4:C$999)=1)*(仕訳帳!I$4:I$999=C42)*(仕訳帳!J$4:J$999="元入金")*(仕訳帳!E$4:E$999))-SUMPRODUCT((MONTH(仕訳帳!C$4:C$999)=1)*(DAY(仕訳帳!C$4:C$999)=1)*(仕訳帳!J$4:J$999=C42)*(仕訳帳!I$4:I$999="元入金")*(仕訳帳!H$4:H$999))))))))</f>
        <v>0</v>
      </c>
      <c r="F42" s="13">
        <f>IF(C42="期首商品（製品)棚卸高","-",IF(C42="棚卸資産",SUMPRODUCT((MONTH(仕訳帳!C$4:C$999)=12)*(DAY(仕訳帳!C$4:C$999)=31)*(仕訳帳!J$4:J$999="期末商品（製品)棚卸高")*(仕訳帳!H$4:H$999)),IF(C42="期末商品（製品)棚卸高",SUMPRODUCT((MONTH(仕訳帳!C$4:C$999)=12)*(DAY(仕訳帳!C$4:C$999)=31)*(仕訳帳!J$4:J$999=C42)*(仕訳帳!H$4:H$999)),(IF(OR(D42="負債・資本",D42="収益"),-1,1)*(SUMIF(仕訳帳!I$4:I$999,集計確認・分析!C42,仕訳帳!E$4:E$999)-SUMIF(仕訳帳!J$4:J$999,集計確認・分析!C42,仕訳帳!H$4:H$999))))))</f>
        <v>0</v>
      </c>
    </row>
    <row r="43" spans="2:6">
      <c r="B43" s="35"/>
      <c r="C43" s="36"/>
      <c r="D43" s="34"/>
      <c r="E43" s="13">
        <f>IF(C43="期末商品（製品)棚卸高","-",IF(C43="棚卸資産",SUMPRODUCT((MONTH(仕訳帳!C$4:C$999)=1)*(DAY(仕訳帳!C$4:C$999)=1)*(仕訳帳!I$4:I$999="期首商品（製品)棚卸高")*(仕訳帳!E$4:E$999)),IF(C43="期首商品（製品)棚卸高",SUMPRODUCT((MONTH(仕訳帳!C$4:C$999)=1)*(DAY(仕訳帳!C$4:C$999)=1)*(仕訳帳!I$4:I$999=C43)*(仕訳帳!E$4:E$999)),IF(C43="元入金",-SUMPRODUCT((MONTH(仕訳帳!C$4:C$999)=1)*(DAY(仕訳帳!C$4:C$999)=1)*(仕訳帳!I$4:I$999=C43)*(仕訳帳!E$4:E$999))+SUMPRODUCT((MONTH(仕訳帳!C$4:C$999)=1)*(DAY(仕訳帳!C$4:C$999)=1)*(仕訳帳!J$4:J$999=C43)*(仕訳帳!H$4:H$999)),(IF(OR(D43="負債・資本",D43="収益"),-1,1)*(SUMPRODUCT((MONTH(仕訳帳!C$4:C$999)=1)*(DAY(仕訳帳!C$4:C$999)=1)*(仕訳帳!I$4:I$999=C43)*(仕訳帳!J$4:J$999="元入金")*(仕訳帳!E$4:E$999))-SUMPRODUCT((MONTH(仕訳帳!C$4:C$999)=1)*(DAY(仕訳帳!C$4:C$999)=1)*(仕訳帳!J$4:J$999=C43)*(仕訳帳!I$4:I$999="元入金")*(仕訳帳!H$4:H$999))))))))</f>
        <v>0</v>
      </c>
      <c r="F43" s="13">
        <f>IF(C43="期首商品（製品)棚卸高","-",IF(C43="棚卸資産",SUMPRODUCT((MONTH(仕訳帳!C$4:C$999)=12)*(DAY(仕訳帳!C$4:C$999)=31)*(仕訳帳!J$4:J$999="期末商品（製品)棚卸高")*(仕訳帳!H$4:H$999)),IF(C43="期末商品（製品)棚卸高",SUMPRODUCT((MONTH(仕訳帳!C$4:C$999)=12)*(DAY(仕訳帳!C$4:C$999)=31)*(仕訳帳!J$4:J$999=C43)*(仕訳帳!H$4:H$999)),(IF(OR(D43="負債・資本",D43="収益"),-1,1)*(SUMIF(仕訳帳!I$4:I$999,集計確認・分析!C43,仕訳帳!E$4:E$999)-SUMIF(仕訳帳!J$4:J$999,集計確認・分析!C43,仕訳帳!H$4:H$999))))))</f>
        <v>0</v>
      </c>
    </row>
    <row r="44" spans="2:6">
      <c r="B44" s="35"/>
      <c r="C44" s="36"/>
      <c r="D44" s="34"/>
      <c r="E44" s="13">
        <f>IF(C44="期末商品（製品)棚卸高","-",IF(C44="棚卸資産",SUMPRODUCT((MONTH(仕訳帳!C$4:C$999)=1)*(DAY(仕訳帳!C$4:C$999)=1)*(仕訳帳!I$4:I$999="期首商品（製品)棚卸高")*(仕訳帳!E$4:E$999)),IF(C44="期首商品（製品)棚卸高",SUMPRODUCT((MONTH(仕訳帳!C$4:C$999)=1)*(DAY(仕訳帳!C$4:C$999)=1)*(仕訳帳!I$4:I$999=C44)*(仕訳帳!E$4:E$999)),IF(C44="元入金",-SUMPRODUCT((MONTH(仕訳帳!C$4:C$999)=1)*(DAY(仕訳帳!C$4:C$999)=1)*(仕訳帳!I$4:I$999=C44)*(仕訳帳!E$4:E$999))+SUMPRODUCT((MONTH(仕訳帳!C$4:C$999)=1)*(DAY(仕訳帳!C$4:C$999)=1)*(仕訳帳!J$4:J$999=C44)*(仕訳帳!H$4:H$999)),(IF(OR(D44="負債・資本",D44="収益"),-1,1)*(SUMPRODUCT((MONTH(仕訳帳!C$4:C$999)=1)*(DAY(仕訳帳!C$4:C$999)=1)*(仕訳帳!I$4:I$999=C44)*(仕訳帳!J$4:J$999="元入金")*(仕訳帳!E$4:E$999))-SUMPRODUCT((MONTH(仕訳帳!C$4:C$999)=1)*(DAY(仕訳帳!C$4:C$999)=1)*(仕訳帳!J$4:J$999=C44)*(仕訳帳!I$4:I$999="元入金")*(仕訳帳!H$4:H$999))))))))</f>
        <v>0</v>
      </c>
      <c r="F44" s="13">
        <f>IF(C44="期首商品（製品)棚卸高","-",IF(C44="棚卸資産",SUMPRODUCT((MONTH(仕訳帳!C$4:C$999)=12)*(DAY(仕訳帳!C$4:C$999)=31)*(仕訳帳!J$4:J$999="期末商品（製品)棚卸高")*(仕訳帳!H$4:H$999)),IF(C44="期末商品（製品)棚卸高",SUMPRODUCT((MONTH(仕訳帳!C$4:C$999)=12)*(DAY(仕訳帳!C$4:C$999)=31)*(仕訳帳!J$4:J$999=C44)*(仕訳帳!H$4:H$999)),(IF(OR(D44="負債・資本",D44="収益"),-1,1)*(SUMIF(仕訳帳!I$4:I$999,集計確認・分析!C44,仕訳帳!E$4:E$999)-SUMIF(仕訳帳!J$4:J$999,集計確認・分析!C44,仕訳帳!H$4:H$999))))))</f>
        <v>0</v>
      </c>
    </row>
    <row r="45" spans="2:6">
      <c r="B45" s="35"/>
      <c r="C45" s="36"/>
      <c r="D45" s="34" t="s">
        <v>74</v>
      </c>
      <c r="E45" s="13">
        <f>IF(C45="期末商品（製品)棚卸高","-",IF(C45="棚卸資産",SUMPRODUCT((MONTH(仕訳帳!C$4:C$999)=1)*(DAY(仕訳帳!C$4:C$999)=1)*(仕訳帳!I$4:I$999="期首商品（製品)棚卸高")*(仕訳帳!E$4:E$999)),IF(C45="期首商品（製品)棚卸高",SUMPRODUCT((MONTH(仕訳帳!C$4:C$999)=1)*(DAY(仕訳帳!C$4:C$999)=1)*(仕訳帳!I$4:I$999=C45)*(仕訳帳!E$4:E$999)),IF(C45="元入金",-SUMPRODUCT((MONTH(仕訳帳!C$4:C$999)=1)*(DAY(仕訳帳!C$4:C$999)=1)*(仕訳帳!I$4:I$999=C45)*(仕訳帳!E$4:E$999))+SUMPRODUCT((MONTH(仕訳帳!C$4:C$999)=1)*(DAY(仕訳帳!C$4:C$999)=1)*(仕訳帳!J$4:J$999=C45)*(仕訳帳!H$4:H$999)),(IF(OR(D45="負債・資本",D45="収益"),-1,1)*(SUMPRODUCT((MONTH(仕訳帳!C$4:C$999)=1)*(DAY(仕訳帳!C$4:C$999)=1)*(仕訳帳!I$4:I$999=C45)*(仕訳帳!J$4:J$999="元入金")*(仕訳帳!E$4:E$999))-SUMPRODUCT((MONTH(仕訳帳!C$4:C$999)=1)*(DAY(仕訳帳!C$4:C$999)=1)*(仕訳帳!J$4:J$999=C45)*(仕訳帳!I$4:I$999="元入金")*(仕訳帳!H$4:H$999))))))))</f>
        <v>0</v>
      </c>
      <c r="F45" s="13">
        <f>IF(C45="期首商品（製品)棚卸高","-",IF(C45="棚卸資産",SUMPRODUCT((MONTH(仕訳帳!C$4:C$999)=12)*(DAY(仕訳帳!C$4:C$999)=31)*(仕訳帳!J$4:J$999="期末商品（製品)棚卸高")*(仕訳帳!H$4:H$999)),IF(C45="期末商品（製品)棚卸高",SUMPRODUCT((MONTH(仕訳帳!C$4:C$999)=12)*(DAY(仕訳帳!C$4:C$999)=31)*(仕訳帳!J$4:J$999=C45)*(仕訳帳!H$4:H$999)),(IF(OR(D45="負債・資本",D45="収益"),-1,1)*(SUMIF(仕訳帳!I$4:I$999,集計確認・分析!C45,仕訳帳!E$4:E$999)-SUMIF(仕訳帳!J$4:J$999,集計確認・分析!C45,仕訳帳!H$4:H$999))))))</f>
        <v>0</v>
      </c>
    </row>
    <row r="46" spans="2:6">
      <c r="B46" s="33">
        <v>31</v>
      </c>
      <c r="C46" s="5" t="s">
        <v>90</v>
      </c>
      <c r="D46" s="34" t="s">
        <v>74</v>
      </c>
      <c r="E46" s="13">
        <f>IF(C46="期末商品（製品)棚卸高","-",IF(C46="棚卸資産",SUMPRODUCT((MONTH(仕訳帳!C$4:C$999)=1)*(DAY(仕訳帳!C$4:C$999)=1)*(仕訳帳!I$4:I$999="期首商品（製品)棚卸高")*(仕訳帳!E$4:E$999)),IF(C46="期首商品（製品)棚卸高",SUMPRODUCT((MONTH(仕訳帳!C$4:C$999)=1)*(DAY(仕訳帳!C$4:C$999)=1)*(仕訳帳!I$4:I$999=C46)*(仕訳帳!E$4:E$999)),IF(C46="元入金",-SUMPRODUCT((MONTH(仕訳帳!C$4:C$999)=1)*(DAY(仕訳帳!C$4:C$999)=1)*(仕訳帳!I$4:I$999=C46)*(仕訳帳!E$4:E$999))+SUMPRODUCT((MONTH(仕訳帳!C$4:C$999)=1)*(DAY(仕訳帳!C$4:C$999)=1)*(仕訳帳!J$4:J$999=C46)*(仕訳帳!H$4:H$999)),(IF(OR(D46="負債・資本",D46="収益"),-1,1)*(SUMPRODUCT((MONTH(仕訳帳!C$4:C$999)=1)*(DAY(仕訳帳!C$4:C$999)=1)*(仕訳帳!I$4:I$999=C46)*(仕訳帳!J$4:J$999="元入金")*(仕訳帳!E$4:E$999))-SUMPRODUCT((MONTH(仕訳帳!C$4:C$999)=1)*(DAY(仕訳帳!C$4:C$999)=1)*(仕訳帳!J$4:J$999=C46)*(仕訳帳!I$4:I$999="元入金")*(仕訳帳!H$4:H$999))))))))</f>
        <v>0</v>
      </c>
      <c r="F46" s="13">
        <f>IF(C46="期首商品（製品)棚卸高","-",IF(C46="棚卸資産",SUMPRODUCT((MONTH(仕訳帳!C$4:C$999)=12)*(DAY(仕訳帳!C$4:C$999)=31)*(仕訳帳!J$4:J$999="期末商品（製品)棚卸高")*(仕訳帳!H$4:H$999)),IF(C46="期末商品（製品)棚卸高",SUMPRODUCT((MONTH(仕訳帳!C$4:C$999)=12)*(DAY(仕訳帳!C$4:C$999)=31)*(仕訳帳!J$4:J$999=C46)*(仕訳帳!H$4:H$999)),(IF(OR(D46="負債・資本",D46="収益"),-1,1)*(SUMIF(仕訳帳!I$4:I$999,集計確認・分析!C46,仕訳帳!E$4:E$999)-SUMIF(仕訳帳!J$4:J$999,集計確認・分析!C46,仕訳帳!H$4:H$999))))))</f>
        <v>0</v>
      </c>
    </row>
    <row r="47" spans="4:6">
      <c r="D47" s="34"/>
      <c r="E47" s="13">
        <f>IF(C47="期末商品（製品)棚卸高","-",IF(C47="棚卸資産",SUMPRODUCT((MONTH(仕訳帳!C$4:C$999)=1)*(DAY(仕訳帳!C$4:C$999)=1)*(仕訳帳!I$4:I$999="期首商品（製品)棚卸高")*(仕訳帳!E$4:E$999)),IF(C47="期首商品（製品)棚卸高",SUMPRODUCT((MONTH(仕訳帳!C$4:C$999)=1)*(DAY(仕訳帳!C$4:C$999)=1)*(仕訳帳!I$4:I$999=C47)*(仕訳帳!E$4:E$999)),IF(C47="元入金",-SUMPRODUCT((MONTH(仕訳帳!C$4:C$999)=1)*(DAY(仕訳帳!C$4:C$999)=1)*(仕訳帳!I$4:I$999=C47)*(仕訳帳!E$4:E$999))+SUMPRODUCT((MONTH(仕訳帳!C$4:C$999)=1)*(DAY(仕訳帳!C$4:C$999)=1)*(仕訳帳!J$4:J$999=C47)*(仕訳帳!H$4:H$999)),(IF(OR(D47="負債・資本",D47="収益"),-1,1)*(SUMPRODUCT((MONTH(仕訳帳!C$4:C$999)=1)*(DAY(仕訳帳!C$4:C$999)=1)*(仕訳帳!I$4:I$999=C47)*(仕訳帳!J$4:J$999="元入金")*(仕訳帳!E$4:E$999))-SUMPRODUCT((MONTH(仕訳帳!C$4:C$999)=1)*(DAY(仕訳帳!C$4:C$999)=1)*(仕訳帳!J$4:J$999=C47)*(仕訳帳!I$4:I$999="元入金")*(仕訳帳!H$4:H$999))))))))</f>
        <v>0</v>
      </c>
      <c r="F47" s="13">
        <f>IF(C47="期首商品（製品)棚卸高","-",IF(C47="棚卸資産",SUMPRODUCT((MONTH(仕訳帳!C$4:C$999)=12)*(DAY(仕訳帳!C$4:C$999)=31)*(仕訳帳!J$4:J$999="期末商品（製品)棚卸高")*(仕訳帳!H$4:H$999)),IF(C47="期末商品（製品)棚卸高",SUMPRODUCT((MONTH(仕訳帳!C$4:C$999)=12)*(DAY(仕訳帳!C$4:C$999)=31)*(仕訳帳!J$4:J$999=C47)*(仕訳帳!H$4:H$999)),(IF(OR(D47="負債・資本",D47="収益"),-1,1)*(SUMIF(仕訳帳!I$4:I$999,集計確認・分析!C47,仕訳帳!E$4:E$999)-SUMIF(仕訳帳!J$4:J$999,集計確認・分析!C47,仕訳帳!H$4:H$999))))))</f>
        <v>0</v>
      </c>
    </row>
    <row r="48" spans="13:13">
      <c r="M48" s="48"/>
    </row>
    <row r="49" spans="2:13">
      <c r="B49" s="37" t="s">
        <v>292</v>
      </c>
      <c r="C49" s="8"/>
      <c r="M49" s="48"/>
    </row>
    <row r="50" spans="2:13">
      <c r="B50" s="37" t="s">
        <v>64</v>
      </c>
      <c r="C50" s="38">
        <f>SUM(F20:F22)</f>
        <v>0</v>
      </c>
      <c r="M50" s="48"/>
    </row>
    <row r="51" spans="2:13">
      <c r="B51" s="37" t="s">
        <v>74</v>
      </c>
      <c r="C51" s="39">
        <f>SUM(F22:F47)</f>
        <v>0</v>
      </c>
      <c r="M51" s="48"/>
    </row>
    <row r="52" spans="2:13">
      <c r="B52" s="37" t="s">
        <v>293</v>
      </c>
      <c r="C52" s="40">
        <f>C50-C51</f>
        <v>0</v>
      </c>
      <c r="M52" s="48"/>
    </row>
    <row r="53" spans="2:13">
      <c r="B53" s="37" t="s">
        <v>72</v>
      </c>
      <c r="C53" s="41">
        <f>SUM(F3:F9)</f>
        <v>0</v>
      </c>
      <c r="M53" s="48"/>
    </row>
    <row r="54" spans="2:13">
      <c r="B54" s="37" t="s">
        <v>290</v>
      </c>
      <c r="C54" s="42">
        <f>SUM(F15:F19)</f>
        <v>0</v>
      </c>
      <c r="M54" s="48"/>
    </row>
    <row r="55" spans="2:13">
      <c r="B55" s="37" t="s">
        <v>294</v>
      </c>
      <c r="C55" s="40">
        <f>C53-C54-C52+F14</f>
        <v>0</v>
      </c>
      <c r="D55" s="43" t="s">
        <v>295</v>
      </c>
      <c r="M55" s="48"/>
    </row>
    <row r="56" spans="2:13">
      <c r="B56" s="5"/>
      <c r="M56" s="48"/>
    </row>
    <row r="57" spans="2:13">
      <c r="B57" s="44" t="s">
        <v>296</v>
      </c>
      <c r="C57" s="5">
        <f>F16+C52-F14+F15</f>
        <v>0</v>
      </c>
      <c r="D57" s="45" t="s">
        <v>297</v>
      </c>
      <c r="M57" s="48"/>
    </row>
    <row r="58" spans="2:13">
      <c r="B58" s="44" t="s">
        <v>298</v>
      </c>
      <c r="C58" s="5">
        <f>F12</f>
        <v>0</v>
      </c>
      <c r="M58" s="48"/>
    </row>
    <row r="59" spans="2:13">
      <c r="B59" s="5"/>
      <c r="M59" s="48"/>
    </row>
    <row r="60" spans="2:13">
      <c r="B60" s="8" t="s">
        <v>299</v>
      </c>
      <c r="C60" s="8"/>
      <c r="M60" s="48"/>
    </row>
    <row r="61" spans="2:13">
      <c r="B61" s="46">
        <v>1</v>
      </c>
      <c r="C61" s="47">
        <f>SUMPRODUCT((MONTH(仕訳帳!C$4:C$999)=B61)*(TEXT(仕訳帳!G$4:G$999,"0")="1"),(仕訳帳!H$4:H$999))</f>
        <v>0</v>
      </c>
      <c r="M61" s="48"/>
    </row>
    <row r="62" spans="2:13">
      <c r="B62" s="46">
        <v>2</v>
      </c>
      <c r="C62" s="47">
        <f>SUMPRODUCT((MONTH(仕訳帳!C$4:C$999)=B62)*(TEXT(仕訳帳!G$4:G$999,"0")="1"),(仕訳帳!H$4:H$999))</f>
        <v>0</v>
      </c>
      <c r="M62" s="48"/>
    </row>
    <row r="63" spans="2:13">
      <c r="B63" s="46">
        <v>3</v>
      </c>
      <c r="C63" s="47">
        <f>SUMPRODUCT((MONTH(仕訳帳!C$4:C$999)=B63)*(TEXT(仕訳帳!G$4:G$999,"0")="1"),(仕訳帳!H$4:H$999))</f>
        <v>0</v>
      </c>
      <c r="M63" s="48"/>
    </row>
    <row r="64" spans="2:13">
      <c r="B64" s="46">
        <v>4</v>
      </c>
      <c r="C64" s="47">
        <f>SUMPRODUCT((MONTH(仕訳帳!C$4:C$999)=B64)*(TEXT(仕訳帳!G$4:G$999,"0")="1"),(仕訳帳!H$4:H$999))</f>
        <v>0</v>
      </c>
      <c r="M64" s="48"/>
    </row>
    <row r="65" spans="2:13">
      <c r="B65" s="46">
        <v>5</v>
      </c>
      <c r="C65" s="47">
        <f>SUMPRODUCT((MONTH(仕訳帳!C$4:C$999)=B65)*(TEXT(仕訳帳!G$4:G$999,"0")="1"),(仕訳帳!H$4:H$999))</f>
        <v>0</v>
      </c>
      <c r="M65" s="48"/>
    </row>
    <row r="66" spans="2:13">
      <c r="B66" s="46">
        <v>6</v>
      </c>
      <c r="C66" s="47">
        <f>SUMPRODUCT((MONTH(仕訳帳!C$4:C$999)=B66)*(TEXT(仕訳帳!G$4:G$999,"0")="1"),(仕訳帳!H$4:H$999))</f>
        <v>0</v>
      </c>
      <c r="M66" s="48"/>
    </row>
    <row r="67" spans="2:13">
      <c r="B67" s="46">
        <v>7</v>
      </c>
      <c r="C67" s="47">
        <f>SUMPRODUCT((MONTH(仕訳帳!C$4:C$999)=B67)*(TEXT(仕訳帳!G$4:G$999,"0")="1"),(仕訳帳!H$4:H$999))</f>
        <v>0</v>
      </c>
      <c r="M67" s="48"/>
    </row>
    <row r="68" spans="2:13">
      <c r="B68" s="46">
        <v>8</v>
      </c>
      <c r="C68" s="47">
        <f>SUMPRODUCT((MONTH(仕訳帳!C$4:C$999)=B68)*(TEXT(仕訳帳!G$4:G$999,"0")="1"),(仕訳帳!H$4:H$999))</f>
        <v>0</v>
      </c>
      <c r="M68" s="48"/>
    </row>
    <row r="69" spans="2:13">
      <c r="B69" s="46">
        <v>9</v>
      </c>
      <c r="C69" s="47">
        <f>SUMPRODUCT((MONTH(仕訳帳!C$4:C$999)=B69)*(TEXT(仕訳帳!G$4:G$999,"0")="1"),(仕訳帳!H$4:H$999))</f>
        <v>0</v>
      </c>
      <c r="M69" s="48"/>
    </row>
    <row r="70" spans="2:13">
      <c r="B70" s="46">
        <v>10</v>
      </c>
      <c r="C70" s="47">
        <f>SUMPRODUCT((MONTH(仕訳帳!C$4:C$999)=B70)*(TEXT(仕訳帳!G$4:G$999,"0")="1"),(仕訳帳!H$4:H$999))</f>
        <v>0</v>
      </c>
      <c r="M70" s="48"/>
    </row>
    <row r="71" spans="2:13">
      <c r="B71" s="46">
        <v>11</v>
      </c>
      <c r="C71" s="47">
        <f>SUMPRODUCT((MONTH(仕訳帳!C$4:C$999)=B71)*(TEXT(仕訳帳!G$4:G$999,"0")="1"),(仕訳帳!H$4:H$999))</f>
        <v>0</v>
      </c>
      <c r="M71" s="48"/>
    </row>
    <row r="72" ht="19.95" spans="2:13">
      <c r="B72" s="46">
        <v>12</v>
      </c>
      <c r="C72" s="47">
        <f>SUMPRODUCT((MONTH(仕訳帳!C$4:C$999)=B72)*(TEXT(仕訳帳!G$4:G$999,"0")="1"),(仕訳帳!H$4:H$999))</f>
        <v>0</v>
      </c>
      <c r="M72" s="48"/>
    </row>
    <row r="73" ht="19.95" spans="2:13">
      <c r="B73" s="49" t="s">
        <v>277</v>
      </c>
      <c r="C73" s="50">
        <f>SUM(C61:C72)</f>
        <v>0</v>
      </c>
      <c r="M73" s="48"/>
    </row>
    <row r="74" spans="2:13">
      <c r="B74" s="51"/>
      <c r="C74" s="40"/>
      <c r="M74" s="48"/>
    </row>
    <row r="75" spans="2:13">
      <c r="B75" s="8" t="s">
        <v>300</v>
      </c>
      <c r="C75" s="8"/>
      <c r="M75" s="48"/>
    </row>
    <row r="76" spans="2:13">
      <c r="B76" s="46">
        <v>1</v>
      </c>
      <c r="C76" s="47">
        <f>SUMPRODUCT((MONTH(仕訳帳!C$4:C$999)=B76)*(TEXT(仕訳帳!D$4:D$999,"0")="3"),(仕訳帳!H$4:H$999))</f>
        <v>0</v>
      </c>
      <c r="M76" s="48"/>
    </row>
    <row r="77" spans="2:13">
      <c r="B77" s="46">
        <v>2</v>
      </c>
      <c r="C77" s="47">
        <f>SUMPRODUCT((MONTH(仕訳帳!C$4:C$999)=B77)*(TEXT(仕訳帳!D$4:D$999,"0")="3"),(仕訳帳!H$4:H$999))</f>
        <v>0</v>
      </c>
      <c r="M77" s="48"/>
    </row>
    <row r="78" spans="2:13">
      <c r="B78" s="46">
        <v>3</v>
      </c>
      <c r="C78" s="47">
        <f>SUMPRODUCT((MONTH(仕訳帳!C$4:C$999)=B78)*(TEXT(仕訳帳!D$4:D$999,"0")="3"),(仕訳帳!H$4:H$999))</f>
        <v>0</v>
      </c>
      <c r="M78" s="48"/>
    </row>
    <row r="79" spans="2:13">
      <c r="B79" s="46">
        <v>4</v>
      </c>
      <c r="C79" s="47">
        <f>SUMPRODUCT((MONTH(仕訳帳!C$4:C$999)=B79)*(TEXT(仕訳帳!D$4:D$999,"0")="3"),(仕訳帳!H$4:H$999))</f>
        <v>0</v>
      </c>
      <c r="M79" s="48"/>
    </row>
    <row r="80" spans="2:13">
      <c r="B80" s="46">
        <v>5</v>
      </c>
      <c r="C80" s="47">
        <f>SUMPRODUCT((MONTH(仕訳帳!C$4:C$999)=B80)*(TEXT(仕訳帳!D$4:D$999,"0")="3"),(仕訳帳!H$4:H$999))</f>
        <v>0</v>
      </c>
      <c r="M80" s="48"/>
    </row>
    <row r="81" spans="2:13">
      <c r="B81" s="46">
        <v>6</v>
      </c>
      <c r="C81" s="47">
        <f>SUMPRODUCT((MONTH(仕訳帳!C$4:C$999)=B81)*(TEXT(仕訳帳!D$4:D$999,"0")="3"),(仕訳帳!H$4:H$999))</f>
        <v>0</v>
      </c>
      <c r="M81" s="48"/>
    </row>
    <row r="82" spans="2:13">
      <c r="B82" s="46">
        <v>7</v>
      </c>
      <c r="C82" s="47">
        <f>SUMPRODUCT((MONTH(仕訳帳!C$4:C$999)=B82)*(TEXT(仕訳帳!D$4:D$999,"0")="3"),(仕訳帳!H$4:H$999))</f>
        <v>0</v>
      </c>
      <c r="M82" s="48"/>
    </row>
    <row r="83" spans="2:13">
      <c r="B83" s="46">
        <v>8</v>
      </c>
      <c r="C83" s="47">
        <f>SUMPRODUCT((MONTH(仕訳帳!C$4:C$999)=B83)*(TEXT(仕訳帳!D$4:D$999,"0")="3"),(仕訳帳!H$4:H$999))</f>
        <v>0</v>
      </c>
      <c r="M83" s="48"/>
    </row>
    <row r="84" spans="2:13">
      <c r="B84" s="46">
        <v>9</v>
      </c>
      <c r="C84" s="47">
        <f>SUMPRODUCT((MONTH(仕訳帳!C$4:C$999)=B84)*(TEXT(仕訳帳!D$4:D$999,"0")="3"),(仕訳帳!H$4:H$999))</f>
        <v>0</v>
      </c>
      <c r="M84" s="48"/>
    </row>
    <row r="85" spans="2:13">
      <c r="B85" s="46">
        <v>10</v>
      </c>
      <c r="C85" s="47">
        <f>SUMPRODUCT((MONTH(仕訳帳!C$4:C$999)=B85)*(TEXT(仕訳帳!D$4:D$999,"0")="3"),(仕訳帳!H$4:H$999))</f>
        <v>0</v>
      </c>
      <c r="M85" s="48"/>
    </row>
    <row r="86" spans="2:13">
      <c r="B86" s="46">
        <v>11</v>
      </c>
      <c r="C86" s="47">
        <f>SUMPRODUCT((MONTH(仕訳帳!C$4:C$999)=B86)*(TEXT(仕訳帳!D$4:D$999,"0")="3"),(仕訳帳!H$4:H$999))</f>
        <v>0</v>
      </c>
      <c r="M86" s="48"/>
    </row>
    <row r="87" ht="19.95" spans="2:13">
      <c r="B87" s="46">
        <v>12</v>
      </c>
      <c r="C87" s="47">
        <f>SUMPRODUCT((MONTH(仕訳帳!C$4:C$999)=B87)*(TEXT(仕訳帳!D$4:D$999,"0")="3"),(仕訳帳!H$4:H$999))</f>
        <v>0</v>
      </c>
      <c r="M87" s="48"/>
    </row>
    <row r="88" ht="19.95" spans="2:13">
      <c r="B88" s="49" t="s">
        <v>277</v>
      </c>
      <c r="C88" s="50">
        <f>SUM(C76:C87)</f>
        <v>0</v>
      </c>
      <c r="M88" s="48"/>
    </row>
    <row r="89" spans="2:13">
      <c r="B89" s="5"/>
      <c r="M89" s="48"/>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3.2"/>
  <cols>
    <col min="1" max="16384" width="8.88888888888889" style="3"/>
  </cols>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4"/>
  <sheetViews>
    <sheetView zoomScale="130" zoomScaleNormal="130" workbookViewId="0">
      <selection activeCell="A1" sqref="A1"/>
    </sheetView>
  </sheetViews>
  <sheetFormatPr defaultColWidth="8.88888888888889" defaultRowHeight="16.2" outlineLevelCol="4"/>
  <cols>
    <col min="1" max="1" width="5.11111111111111" style="1" customWidth="1"/>
    <col min="2" max="2" width="8.88888888888889" style="1"/>
    <col min="3" max="3" width="21" style="1" customWidth="1"/>
    <col min="4" max="4" width="19.8888888888889" style="1" customWidth="1"/>
    <col min="5" max="5" width="15.3333333333333" style="1" customWidth="1"/>
    <col min="6" max="16384" width="8.88888888888889" style="1"/>
  </cols>
  <sheetData>
    <row r="1" s="1" customFormat="1" spans="2:2">
      <c r="B1" s="1" t="s">
        <v>301</v>
      </c>
    </row>
    <row r="3" s="1" customFormat="1" spans="2:5">
      <c r="B3" s="2" t="s">
        <v>146</v>
      </c>
      <c r="C3" s="2" t="s">
        <v>302</v>
      </c>
      <c r="D3" s="2" t="s">
        <v>303</v>
      </c>
      <c r="E3" s="2" t="s">
        <v>304</v>
      </c>
    </row>
    <row r="4" s="1" customFormat="1" spans="2:5">
      <c r="B4" s="2"/>
      <c r="C4" s="2"/>
      <c r="D4" s="2"/>
      <c r="E4" s="2"/>
    </row>
    <row r="5" s="1" customFormat="1" spans="2:5">
      <c r="B5" s="2"/>
      <c r="C5" s="2"/>
      <c r="D5" s="2"/>
      <c r="E5" s="2"/>
    </row>
    <row r="6" s="1" customFormat="1" spans="2:5">
      <c r="B6" s="2"/>
      <c r="C6" s="2"/>
      <c r="D6" s="2"/>
      <c r="E6" s="2"/>
    </row>
    <row r="7" s="1" customFormat="1" spans="2:5">
      <c r="B7" s="2"/>
      <c r="C7" s="2"/>
      <c r="D7" s="2"/>
      <c r="E7" s="2"/>
    </row>
    <row r="8" s="1" customFormat="1" spans="2:5">
      <c r="B8" s="2"/>
      <c r="C8" s="2"/>
      <c r="D8" s="2"/>
      <c r="E8" s="2"/>
    </row>
    <row r="9" s="1" customFormat="1" spans="2:5">
      <c r="B9" s="2"/>
      <c r="C9" s="2"/>
      <c r="D9" s="2"/>
      <c r="E9" s="2"/>
    </row>
    <row r="10" s="1" customFormat="1" spans="2:5">
      <c r="B10" s="2"/>
      <c r="C10" s="2"/>
      <c r="D10" s="2"/>
      <c r="E10" s="2"/>
    </row>
    <row r="11" s="1" customFormat="1" spans="2:5">
      <c r="B11" s="2"/>
      <c r="C11" s="2"/>
      <c r="D11" s="2"/>
      <c r="E11" s="2"/>
    </row>
    <row r="12" s="1" customFormat="1" spans="2:5">
      <c r="B12" s="2"/>
      <c r="C12" s="2"/>
      <c r="D12" s="2"/>
      <c r="E12" s="2"/>
    </row>
    <row r="13" s="1" customFormat="1" spans="2:5">
      <c r="B13" s="2"/>
      <c r="C13" s="2"/>
      <c r="D13" s="2"/>
      <c r="E13" s="2"/>
    </row>
    <row r="14" s="1" customFormat="1" spans="2:5">
      <c r="B14" s="2"/>
      <c r="C14" s="2"/>
      <c r="D14" s="2"/>
      <c r="E14" s="2"/>
    </row>
    <row r="15" s="1" customFormat="1" spans="2:5">
      <c r="B15" s="2"/>
      <c r="C15" s="2"/>
      <c r="D15" s="2"/>
      <c r="E15" s="2"/>
    </row>
    <row r="16" s="1" customFormat="1" spans="2:5">
      <c r="B16" s="2"/>
      <c r="C16" s="2"/>
      <c r="D16" s="2"/>
      <c r="E16" s="2"/>
    </row>
    <row r="17" s="1" customFormat="1" spans="2:5">
      <c r="B17" s="2"/>
      <c r="C17" s="2"/>
      <c r="D17" s="2"/>
      <c r="E17" s="2"/>
    </row>
    <row r="18" s="1" customFormat="1" spans="2:5">
      <c r="B18" s="2"/>
      <c r="C18" s="2"/>
      <c r="D18" s="2"/>
      <c r="E18" s="2"/>
    </row>
    <row r="19" s="1" customFormat="1" spans="2:5">
      <c r="B19" s="2"/>
      <c r="C19" s="2"/>
      <c r="D19" s="2"/>
      <c r="E19" s="2"/>
    </row>
    <row r="20" s="1" customFormat="1" spans="2:5">
      <c r="B20" s="2"/>
      <c r="C20" s="2"/>
      <c r="D20" s="2"/>
      <c r="E20" s="2"/>
    </row>
    <row r="21" s="1" customFormat="1" spans="2:5">
      <c r="B21" s="2"/>
      <c r="C21" s="2"/>
      <c r="D21" s="2"/>
      <c r="E21" s="2"/>
    </row>
    <row r="22" s="1" customFormat="1" spans="2:5">
      <c r="B22" s="2"/>
      <c r="C22" s="2"/>
      <c r="D22" s="2"/>
      <c r="E22" s="2"/>
    </row>
    <row r="23" s="1" customFormat="1" spans="2:5">
      <c r="B23" s="2"/>
      <c r="C23" s="2"/>
      <c r="D23" s="2"/>
      <c r="E23" s="2"/>
    </row>
    <row r="24" s="1" customFormat="1" spans="4:5">
      <c r="D24" s="1" t="s">
        <v>277</v>
      </c>
      <c r="E24" s="1">
        <f>SUM(E4:E23)</f>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11</vt:i4>
      </vt:variant>
    </vt:vector>
  </HeadingPairs>
  <TitlesOfParts>
    <vt:vector size="11" baseType="lpstr">
      <vt:lpstr>はじめに</vt:lpstr>
      <vt:lpstr>勘定科目</vt:lpstr>
      <vt:lpstr>仕訳帳</vt:lpstr>
      <vt:lpstr>①青色申告決算書（損益計算書）</vt:lpstr>
      <vt:lpstr>②月別売上ほか</vt:lpstr>
      <vt:lpstr>③減価償却ほか</vt:lpstr>
      <vt:lpstr>④貸借対照表 </vt:lpstr>
      <vt:lpstr>総勘定元帳</vt:lpstr>
      <vt:lpstr>集計確認・分析</vt:lpstr>
      <vt:lpstr>固定資産台帳</vt:lpstr>
      <vt:lpstr>開業費記録</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touyama</dc:creator>
  <cp:lastModifiedBy>uxora</cp:lastModifiedBy>
  <dcterms:created xsi:type="dcterms:W3CDTF">2025-02-05T11:21:00Z</dcterms:created>
  <dcterms:modified xsi:type="dcterms:W3CDTF">2026-02-12T11:39:32Z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